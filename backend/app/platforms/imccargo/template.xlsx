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ymo-intranet\claude\"/>
    </mc:Choice>
  </mc:AlternateContent>
  <xr:revisionPtr revIDLastSave="0" documentId="8_{5FEB2E48-78E7-4DF4-83D4-5C66BD514FCA}" xr6:coauthVersionLast="47" xr6:coauthVersionMax="47" xr10:uidLastSave="{00000000-0000-0000-0000-000000000000}"/>
  <bookViews>
    <workbookView xWindow="-110" yWindow="-110" windowWidth="19420" windowHeight="11500" xr2:uid="{846C7B5A-7C51-4ECF-895F-4DCF433E7C7E}"/>
  </bookViews>
  <sheets>
    <sheet name="IMC CARG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H12" i="2"/>
  <c r="H13" i="2"/>
  <c r="C40" i="2"/>
  <c r="H16" i="2" l="1"/>
  <c r="H17" i="2" s="1"/>
  <c r="H18" i="2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<sst xmlns="http://schemas.openxmlformats.org/spreadsheetml/2006/main" count="58" uniqueCount="48">
  <si>
    <t>PBX: (1) 7 44 92 01</t>
  </si>
  <si>
    <t>IMC CARGO INTERNATIONAL SAS KM 2.5  AUTOPISTA BOGOTA MEDELLIN
CENTRO LOGISTICO INDUSTRIAL CLIC 80 - COTA COLOMBIA</t>
  </si>
  <si>
    <t>Sonia Gómez</t>
  </si>
  <si>
    <t>Alejandra Orozco</t>
  </si>
  <si>
    <t>TRANSPORTES</t>
  </si>
  <si>
    <t>APRUEBA</t>
  </si>
  <si>
    <t>ELABORA</t>
  </si>
  <si>
    <t>SOLICITA</t>
  </si>
  <si>
    <t>FIRMA Y SELLO</t>
  </si>
  <si>
    <t xml:space="preserve">
Nuestro grupo logístico LOGIMAT SAS, IMC CARGO INTERNATIONAL SAS e IMC DEPOSITO SAS orientados bajo estándares de transparencia seguridad e integridad empresarial y con la finalidad de asegurar relaciones comerciales saludables dentro del marco legal y en virtud de ello siendo conscientes que a nivel global estamos expuestos a riesgos tales como el lavado de activos financiamiento del terrorismo extorsión tráfico de armas soborno ciberataques contaminación de la carga entre otros. Lo invitamos a participar en la prevención de los riesgos manteniendo su negocio con procesos de seguridad y conocimiento de sus asociados lo cual fortalece nuestras relaciones comerciales y evita perdida de estas y permite crecimiento entre las partes interesadas.</t>
  </si>
  <si>
    <t>APRECIADO PROVEEDOR</t>
  </si>
  <si>
    <t>X</t>
  </si>
  <si>
    <t>Harold Florez</t>
  </si>
  <si>
    <t>ENTREGAR A</t>
  </si>
  <si>
    <t xml:space="preserve">CALIDAD </t>
  </si>
  <si>
    <t>GARANTIA</t>
  </si>
  <si>
    <t>PROGRAMACIÓN FECHA</t>
  </si>
  <si>
    <t>PLAZO DE ENTREGA:</t>
  </si>
  <si>
    <t>DÍAS</t>
  </si>
  <si>
    <t>INMEDIATA</t>
  </si>
  <si>
    <t>RELACIONAR</t>
  </si>
  <si>
    <t>FORMA DE ENTREGA</t>
  </si>
  <si>
    <t>$</t>
  </si>
  <si>
    <t xml:space="preserve">PAGO SALDO </t>
  </si>
  <si>
    <t>ANTICIPO</t>
  </si>
  <si>
    <t>CREDITO 30 DÍAS</t>
  </si>
  <si>
    <t>FORMA DE PAGO</t>
  </si>
  <si>
    <t>Observaciones: el valor a pagar puede variar de acuerdo a los impuestos aplicados según la ley.</t>
  </si>
  <si>
    <t>VALOR TOTAL</t>
  </si>
  <si>
    <t>IVA</t>
  </si>
  <si>
    <t>830513769@factureinbox.co</t>
  </si>
  <si>
    <t>Buzón Facturación</t>
  </si>
  <si>
    <r>
      <rPr>
        <b/>
        <sz val="12"/>
        <color theme="1"/>
        <rFont val="Cambria"/>
        <family val="1"/>
      </rPr>
      <t xml:space="preserve">Nota: 
</t>
    </r>
    <r>
      <rPr>
        <sz val="12"/>
        <color theme="1"/>
        <rFont val="Cambria"/>
        <family val="1"/>
      </rPr>
      <t>Todos los servicios deben ser facturados dentro del período acordado. 
No asumimos responsabilidad por servicios facturados fuera de este plazo.</t>
    </r>
  </si>
  <si>
    <t>VALOR UNITARIO</t>
  </si>
  <si>
    <t>DESCRIPCION</t>
  </si>
  <si>
    <t>REFERENCIA</t>
  </si>
  <si>
    <t>CANTIDAD</t>
  </si>
  <si>
    <t>ITEM</t>
  </si>
  <si>
    <t>COT:</t>
  </si>
  <si>
    <t xml:space="preserve"> ORDEN DE COMPRA SEGÚN:</t>
  </si>
  <si>
    <t xml:space="preserve">KM 2.5  SIBERIA-  BOGOTA COSTADO SUR  CENTRO LOGISTICO INDUSTRIAL CLIC 80 </t>
  </si>
  <si>
    <t>LUGAR Y DIRECCION DE ENTREGA:</t>
  </si>
  <si>
    <t>NIT:</t>
  </si>
  <si>
    <t xml:space="preserve">SEÑORES: </t>
  </si>
  <si>
    <t xml:space="preserve">FECHA:   </t>
  </si>
  <si>
    <t>ORDEN DE COMPRA No C479-2026</t>
  </si>
  <si>
    <t>830.513.769-8</t>
  </si>
  <si>
    <t xml:space="preserve">IMC CARGO INTERNATIONAL SAS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</si>
</sst>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_-* #,##0_-;\-* #,##0_-;_-* &quot;-&quot;??_-;_-@_-"/>
    <numFmt numFmtId="166" formatCode="_-&quot;$&quot;* #,##0.00_-;\-&quot;$&quot;* #,##0.00_-;_-&quot;$&quot;* &quot;-&quot;??_-;_-@_-"/>
    <numFmt numFmtId="167" formatCode="_-&quot;$&quot;* #,##0_-;\-&quot;$&quot;* #,##0_-;_-&quot;$&quot;* &quot;-&quot;??_-;_-@_-"/>
    <numFmt numFmtId="168" formatCode="_-&quot;$&quot;\ * #,##0.00_-;\-&quot;$&quot;\ * #,##0.00_-;_-&quot;$&quot;\ * &quot;-&quot;??_-;_-@_-"/>
    <numFmt numFmtId="169" formatCode="[$-F800]dddd\,\ mmmm\ dd\,\ yyyy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lbertus Medium"/>
      <family val="2"/>
    </font>
    <font>
      <sz val="11"/>
      <color theme="1"/>
      <name val="Albertus Medium"/>
      <family val="2"/>
    </font>
    <font>
      <b/>
      <sz val="11"/>
      <color rgb="FF000000"/>
      <name val="Cambria"/>
      <family val="1"/>
    </font>
    <font>
      <i/>
      <sz val="11"/>
      <color rgb="FF000000"/>
      <name val="Cambria"/>
      <family val="1"/>
    </font>
    <font>
      <b/>
      <sz val="16"/>
      <color rgb="FF000000"/>
      <name val="Magneto"/>
      <family val="5"/>
    </font>
    <font>
      <b/>
      <sz val="13"/>
      <color rgb="FF000000"/>
      <name val="Magneto"/>
      <family val="5"/>
    </font>
    <font>
      <sz val="11"/>
      <color theme="1"/>
      <name val="Jumble"/>
    </font>
    <font>
      <b/>
      <i/>
      <sz val="11"/>
      <color theme="1"/>
      <name val="Arial"/>
      <family val="2"/>
    </font>
    <font>
      <b/>
      <i/>
      <sz val="11"/>
      <color rgb="FF000000"/>
      <name val="Cambria"/>
      <family val="1"/>
    </font>
    <font>
      <sz val="11"/>
      <color rgb="FF000000"/>
      <name val="Cambria"/>
      <family val="1"/>
    </font>
    <font>
      <b/>
      <sz val="12"/>
      <color theme="1"/>
      <name val="Cambria"/>
      <family val="1"/>
    </font>
    <font>
      <b/>
      <sz val="12"/>
      <color rgb="FF000000"/>
      <name val="Cambria"/>
      <family val="1"/>
    </font>
    <font>
      <sz val="20"/>
      <color rgb="FF002060"/>
      <name val="Arial"/>
      <family val="2"/>
    </font>
    <font>
      <sz val="20"/>
      <color rgb="FF002060"/>
      <name val="Cambria"/>
      <family val="1"/>
    </font>
    <font>
      <u/>
      <sz val="11"/>
      <color theme="10"/>
      <name val="Aptos Narrow"/>
      <family val="2"/>
      <scheme val="minor"/>
    </font>
    <font>
      <b/>
      <sz val="20"/>
      <color rgb="FF002060"/>
      <name val="Cambria"/>
      <family val="1"/>
    </font>
    <font>
      <sz val="12"/>
      <color theme="1"/>
      <name val="Cambria"/>
      <family val="1"/>
    </font>
    <font>
      <b/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8"/>
      <color rgb="FF00000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168" fontId="1" fillId="0" borderId="0" applyFont="0" applyFill="0" applyBorder="0" applyAlignment="0" applyProtection="0"/>
  </cellStyleXfs>
  <cellXfs count="115">
    <xf numFmtId="0" fontId="0" fillId="0" borderId="0" xfId="0"/>
    <xf numFmtId="0" fontId="3" fillId="0" borderId="0" xfId="1" applyFont="1"/>
    <xf numFmtId="0" fontId="3" fillId="2" borderId="0" xfId="1" applyFont="1" applyFill="1"/>
    <xf numFmtId="0" fontId="4" fillId="0" borderId="0" xfId="0" applyFont="1"/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7" fillId="0" borderId="9" xfId="1" applyFont="1" applyBorder="1" applyAlignment="1">
      <alignment vertical="center"/>
    </xf>
    <xf numFmtId="0" fontId="7" fillId="0" borderId="10" xfId="1" applyFont="1" applyBorder="1" applyAlignment="1">
      <alignment vertical="center"/>
    </xf>
    <xf numFmtId="0" fontId="7" fillId="0" borderId="11" xfId="1" applyFont="1" applyBorder="1" applyAlignment="1">
      <alignment vertical="center"/>
    </xf>
    <xf numFmtId="0" fontId="8" fillId="0" borderId="12" xfId="1" applyFont="1" applyBorder="1" applyAlignment="1">
      <alignment horizontal="left" vertical="center" wrapText="1"/>
    </xf>
    <xf numFmtId="0" fontId="8" fillId="0" borderId="13" xfId="1" applyFont="1" applyBorder="1" applyAlignment="1">
      <alignment horizontal="left" vertical="center" wrapText="1"/>
    </xf>
    <xf numFmtId="0" fontId="8" fillId="0" borderId="14" xfId="1" applyFont="1" applyBorder="1" applyAlignment="1">
      <alignment horizontal="left" vertical="center" wrapText="1"/>
    </xf>
    <xf numFmtId="0" fontId="7" fillId="0" borderId="15" xfId="1" applyFont="1" applyBorder="1" applyAlignment="1">
      <alignment vertical="center"/>
    </xf>
    <xf numFmtId="0" fontId="7" fillId="0" borderId="16" xfId="1" applyFont="1" applyBorder="1" applyAlignment="1">
      <alignment vertical="center"/>
    </xf>
    <xf numFmtId="0" fontId="7" fillId="0" borderId="17" xfId="1" applyFont="1" applyBorder="1" applyAlignment="1">
      <alignment vertical="center"/>
    </xf>
    <xf numFmtId="0" fontId="7" fillId="0" borderId="18" xfId="1" applyFont="1" applyBorder="1" applyAlignment="1">
      <alignment vertical="center"/>
    </xf>
    <xf numFmtId="0" fontId="7" fillId="0" borderId="0" xfId="1" applyFont="1" applyAlignment="1">
      <alignment vertical="center"/>
    </xf>
    <xf numFmtId="0" fontId="9" fillId="0" borderId="19" xfId="0" applyFont="1" applyBorder="1" applyAlignment="1">
      <alignment vertical="center"/>
    </xf>
    <xf numFmtId="0" fontId="5" fillId="0" borderId="20" xfId="1" applyFont="1" applyBorder="1" applyAlignment="1">
      <alignment vertical="center"/>
    </xf>
    <xf numFmtId="0" fontId="5" fillId="0" borderId="21" xfId="1" applyFont="1" applyBorder="1" applyAlignment="1">
      <alignment vertical="center"/>
    </xf>
    <xf numFmtId="0" fontId="5" fillId="0" borderId="22" xfId="1" applyFont="1" applyBorder="1" applyAlignment="1">
      <alignment vertical="center"/>
    </xf>
    <xf numFmtId="0" fontId="5" fillId="0" borderId="23" xfId="1" applyFont="1" applyBorder="1" applyAlignment="1">
      <alignment horizontal="left" vertical="center"/>
    </xf>
    <xf numFmtId="0" fontId="5" fillId="0" borderId="7" xfId="1" applyFont="1" applyBorder="1" applyAlignment="1">
      <alignment horizontal="left" vertical="center"/>
    </xf>
    <xf numFmtId="0" fontId="5" fillId="0" borderId="24" xfId="1" applyFont="1" applyBorder="1" applyAlignment="1">
      <alignment horizontal="left" vertical="center"/>
    </xf>
    <xf numFmtId="165" fontId="5" fillId="3" borderId="25" xfId="2" applyNumberFormat="1" applyFont="1" applyFill="1" applyBorder="1" applyAlignment="1">
      <alignment horizontal="center" vertical="center"/>
    </xf>
    <xf numFmtId="165" fontId="5" fillId="3" borderId="26" xfId="2" applyNumberFormat="1" applyFont="1" applyFill="1" applyBorder="1" applyAlignment="1">
      <alignment horizontal="center" vertical="center"/>
    </xf>
    <xf numFmtId="165" fontId="5" fillId="3" borderId="27" xfId="2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4" xfId="1" applyFont="1" applyBorder="1" applyAlignment="1">
      <alignment horizontal="left" vertical="center" wrapText="1"/>
    </xf>
    <xf numFmtId="0" fontId="11" fillId="0" borderId="0" xfId="1" applyFont="1" applyAlignment="1">
      <alignment horizontal="left" vertical="center" wrapText="1"/>
    </xf>
    <xf numFmtId="0" fontId="11" fillId="0" borderId="5" xfId="1" applyFont="1" applyBorder="1" applyAlignment="1">
      <alignment horizontal="left" vertical="center" wrapText="1"/>
    </xf>
    <xf numFmtId="165" fontId="5" fillId="3" borderId="28" xfId="2" applyNumberFormat="1" applyFont="1" applyFill="1" applyBorder="1" applyAlignment="1">
      <alignment horizontal="center" vertical="center"/>
    </xf>
    <xf numFmtId="165" fontId="5" fillId="3" borderId="29" xfId="2" applyNumberFormat="1" applyFont="1" applyFill="1" applyBorder="1" applyAlignment="1">
      <alignment horizontal="center" vertical="center"/>
    </xf>
    <xf numFmtId="165" fontId="5" fillId="3" borderId="30" xfId="2" applyNumberFormat="1" applyFont="1" applyFill="1" applyBorder="1" applyAlignment="1">
      <alignment horizontal="center" vertical="center"/>
    </xf>
    <xf numFmtId="0" fontId="12" fillId="0" borderId="4" xfId="1" applyFont="1" applyBorder="1" applyAlignment="1">
      <alignment vertical="center"/>
    </xf>
    <xf numFmtId="0" fontId="12" fillId="0" borderId="0" xfId="1" applyFont="1" applyAlignment="1">
      <alignment vertical="center"/>
    </xf>
    <xf numFmtId="0" fontId="12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 wrapText="1"/>
    </xf>
    <xf numFmtId="0" fontId="5" fillId="0" borderId="5" xfId="1" applyFont="1" applyBorder="1" applyAlignment="1">
      <alignment horizontal="left" vertical="center" wrapText="1"/>
    </xf>
    <xf numFmtId="0" fontId="12" fillId="0" borderId="31" xfId="1" applyFont="1" applyBorder="1" applyAlignment="1">
      <alignment horizontal="center" vertical="center"/>
    </xf>
    <xf numFmtId="0" fontId="12" fillId="0" borderId="31" xfId="1" applyFont="1" applyBorder="1" applyAlignment="1">
      <alignment horizontal="left" vertical="center"/>
    </xf>
    <xf numFmtId="0" fontId="5" fillId="3" borderId="31" xfId="1" applyFont="1" applyFill="1" applyBorder="1" applyAlignment="1">
      <alignment horizontal="left" vertical="center" wrapText="1"/>
    </xf>
    <xf numFmtId="0" fontId="5" fillId="3" borderId="32" xfId="1" applyFont="1" applyFill="1" applyBorder="1" applyAlignment="1">
      <alignment horizontal="left" vertical="center" wrapText="1"/>
    </xf>
    <xf numFmtId="0" fontId="12" fillId="0" borderId="31" xfId="1" applyFont="1" applyBorder="1" applyAlignment="1">
      <alignment vertical="center"/>
    </xf>
    <xf numFmtId="0" fontId="5" fillId="3" borderId="31" xfId="1" applyFont="1" applyFill="1" applyBorder="1" applyAlignment="1">
      <alignment horizontal="center" vertical="center"/>
    </xf>
    <xf numFmtId="0" fontId="5" fillId="3" borderId="31" xfId="1" applyFont="1" applyFill="1" applyBorder="1" applyAlignment="1">
      <alignment horizontal="center" vertical="center"/>
    </xf>
    <xf numFmtId="0" fontId="5" fillId="3" borderId="32" xfId="1" applyFont="1" applyFill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2" fillId="0" borderId="5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12" fillId="0" borderId="33" xfId="1" applyFont="1" applyBorder="1" applyAlignment="1">
      <alignment vertical="center"/>
    </xf>
    <xf numFmtId="0" fontId="12" fillId="0" borderId="34" xfId="1" applyFont="1" applyBorder="1" applyAlignment="1">
      <alignment vertical="center"/>
    </xf>
    <xf numFmtId="0" fontId="5" fillId="0" borderId="35" xfId="1" applyFont="1" applyBorder="1" applyAlignment="1">
      <alignment vertical="center"/>
    </xf>
    <xf numFmtId="166" fontId="13" fillId="0" borderId="36" xfId="3" applyFont="1" applyBorder="1" applyAlignment="1">
      <alignment horizontal="right" vertical="center"/>
    </xf>
    <xf numFmtId="165" fontId="14" fillId="3" borderId="37" xfId="2" applyNumberFormat="1" applyFont="1" applyFill="1" applyBorder="1" applyAlignment="1">
      <alignment horizontal="center" vertical="center"/>
    </xf>
    <xf numFmtId="165" fontId="14" fillId="3" borderId="38" xfId="2" applyNumberFormat="1" applyFont="1" applyFill="1" applyBorder="1" applyAlignment="1">
      <alignment horizontal="center" vertical="center"/>
    </xf>
    <xf numFmtId="165" fontId="14" fillId="3" borderId="39" xfId="2" applyNumberFormat="1" applyFont="1" applyFill="1" applyBorder="1" applyAlignment="1">
      <alignment horizontal="center" vertical="center"/>
    </xf>
    <xf numFmtId="166" fontId="13" fillId="0" borderId="28" xfId="3" applyFont="1" applyBorder="1" applyAlignment="1">
      <alignment horizontal="right" vertical="center"/>
    </xf>
    <xf numFmtId="165" fontId="14" fillId="3" borderId="40" xfId="2" applyNumberFormat="1" applyFont="1" applyFill="1" applyBorder="1" applyAlignment="1">
      <alignment horizontal="center" vertical="center"/>
    </xf>
    <xf numFmtId="165" fontId="14" fillId="3" borderId="29" xfId="2" applyNumberFormat="1" applyFont="1" applyFill="1" applyBorder="1" applyAlignment="1">
      <alignment horizontal="center" vertical="center"/>
    </xf>
    <xf numFmtId="165" fontId="14" fillId="3" borderId="30" xfId="2" applyNumberFormat="1" applyFont="1" applyFill="1" applyBorder="1" applyAlignment="1">
      <alignment horizontal="center" vertical="center"/>
    </xf>
    <xf numFmtId="16" fontId="3" fillId="0" borderId="0" xfId="1" applyNumberFormat="1" applyFont="1"/>
    <xf numFmtId="167" fontId="15" fillId="2" borderId="25" xfId="3" applyNumberFormat="1" applyFont="1" applyFill="1" applyBorder="1" applyAlignment="1">
      <alignment horizontal="center" vertical="center"/>
    </xf>
    <xf numFmtId="167" fontId="16" fillId="2" borderId="26" xfId="3" applyNumberFormat="1" applyFont="1" applyFill="1" applyBorder="1" applyAlignment="1">
      <alignment horizontal="right" vertical="center"/>
    </xf>
    <xf numFmtId="0" fontId="17" fillId="2" borderId="26" xfId="4" applyFill="1" applyBorder="1" applyAlignment="1" applyProtection="1">
      <alignment horizontal="left" vertical="center"/>
    </xf>
    <xf numFmtId="0" fontId="18" fillId="2" borderId="26" xfId="1" applyFont="1" applyFill="1" applyBorder="1" applyAlignment="1">
      <alignment horizontal="left" vertical="center"/>
    </xf>
    <xf numFmtId="0" fontId="18" fillId="2" borderId="27" xfId="1" applyFont="1" applyFill="1" applyBorder="1" applyAlignment="1">
      <alignment horizontal="left" vertical="center"/>
    </xf>
    <xf numFmtId="0" fontId="19" fillId="0" borderId="1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 wrapText="1"/>
    </xf>
    <xf numFmtId="0" fontId="3" fillId="0" borderId="0" xfId="1" applyFont="1" applyAlignment="1">
      <alignment wrapText="1"/>
    </xf>
    <xf numFmtId="167" fontId="19" fillId="4" borderId="31" xfId="3" applyNumberFormat="1" applyFont="1" applyFill="1" applyBorder="1" applyAlignment="1">
      <alignment horizontal="center" vertical="center"/>
    </xf>
    <xf numFmtId="168" fontId="12" fillId="4" borderId="31" xfId="5" applyFont="1" applyFill="1" applyBorder="1" applyAlignment="1">
      <alignment horizontal="center" vertical="center" wrapText="1"/>
    </xf>
    <xf numFmtId="0" fontId="12" fillId="4" borderId="31" xfId="1" applyFont="1" applyFill="1" applyBorder="1" applyAlignment="1">
      <alignment horizontal="left" vertical="center" wrapText="1"/>
    </xf>
    <xf numFmtId="0" fontId="12" fillId="4" borderId="31" xfId="1" applyFont="1" applyFill="1" applyBorder="1" applyAlignment="1">
      <alignment horizontal="center" vertical="center"/>
    </xf>
    <xf numFmtId="0" fontId="20" fillId="4" borderId="31" xfId="1" applyFont="1" applyFill="1" applyBorder="1" applyAlignment="1">
      <alignment horizontal="center" vertical="center" wrapText="1"/>
    </xf>
    <xf numFmtId="0" fontId="5" fillId="3" borderId="41" xfId="1" applyFont="1" applyFill="1" applyBorder="1" applyAlignment="1">
      <alignment horizontal="center" vertical="center" wrapText="1"/>
    </xf>
    <xf numFmtId="0" fontId="5" fillId="3" borderId="42" xfId="1" applyFont="1" applyFill="1" applyBorder="1" applyAlignment="1">
      <alignment horizontal="center" vertical="center" wrapText="1"/>
    </xf>
    <xf numFmtId="0" fontId="5" fillId="3" borderId="42" xfId="1" applyFont="1" applyFill="1" applyBorder="1" applyAlignment="1">
      <alignment horizontal="center" vertical="center"/>
    </xf>
    <xf numFmtId="0" fontId="5" fillId="3" borderId="43" xfId="1" applyFont="1" applyFill="1" applyBorder="1" applyAlignment="1">
      <alignment horizontal="center" vertical="center"/>
    </xf>
    <xf numFmtId="0" fontId="14" fillId="0" borderId="36" xfId="1" applyFont="1" applyBorder="1" applyAlignment="1">
      <alignment horizontal="left" vertical="center" wrapText="1"/>
    </xf>
    <xf numFmtId="0" fontId="5" fillId="0" borderId="44" xfId="1" applyFont="1" applyBorder="1" applyAlignment="1">
      <alignment horizontal="right" vertical="center"/>
    </xf>
    <xf numFmtId="0" fontId="5" fillId="0" borderId="45" xfId="1" applyFont="1" applyBorder="1" applyAlignment="1">
      <alignment horizontal="center" vertical="center" wrapText="1"/>
    </xf>
    <xf numFmtId="0" fontId="5" fillId="0" borderId="45" xfId="1" applyFont="1" applyBorder="1" applyAlignment="1">
      <alignment horizontal="left" vertical="center"/>
    </xf>
    <xf numFmtId="0" fontId="5" fillId="0" borderId="46" xfId="1" applyFont="1" applyBorder="1" applyAlignment="1">
      <alignment horizontal="left" vertical="center"/>
    </xf>
    <xf numFmtId="0" fontId="12" fillId="0" borderId="47" xfId="1" applyFont="1" applyBorder="1" applyAlignment="1">
      <alignment horizontal="left" vertical="center" wrapText="1"/>
    </xf>
    <xf numFmtId="0" fontId="12" fillId="0" borderId="31" xfId="1" applyFont="1" applyBorder="1" applyAlignment="1">
      <alignment horizontal="left" vertical="center" wrapText="1"/>
    </xf>
    <xf numFmtId="0" fontId="5" fillId="0" borderId="31" xfId="1" applyFont="1" applyBorder="1" applyAlignment="1">
      <alignment horizontal="left" vertical="center" wrapText="1"/>
    </xf>
    <xf numFmtId="0" fontId="5" fillId="0" borderId="32" xfId="1" applyFont="1" applyBorder="1" applyAlignment="1">
      <alignment horizontal="left" vertical="center" wrapText="1"/>
    </xf>
    <xf numFmtId="0" fontId="21" fillId="0" borderId="47" xfId="1" applyFont="1" applyBorder="1" applyAlignment="1">
      <alignment horizontal="left" vertical="center" wrapText="1"/>
    </xf>
    <xf numFmtId="0" fontId="21" fillId="0" borderId="31" xfId="1" applyFont="1" applyBorder="1" applyAlignment="1">
      <alignment horizontal="left" vertical="center" wrapText="1"/>
    </xf>
    <xf numFmtId="3" fontId="21" fillId="0" borderId="31" xfId="1" applyNumberFormat="1" applyFont="1" applyBorder="1" applyAlignment="1">
      <alignment horizontal="left" vertical="center" wrapText="1"/>
    </xf>
    <xf numFmtId="0" fontId="5" fillId="0" borderId="31" xfId="1" applyFont="1" applyBorder="1" applyAlignment="1">
      <alignment vertical="center" wrapText="1"/>
    </xf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169" fontId="12" fillId="0" borderId="47" xfId="1" applyNumberFormat="1" applyFont="1" applyBorder="1" applyAlignment="1">
      <alignment horizontal="left" vertical="center"/>
    </xf>
    <xf numFmtId="169" fontId="12" fillId="0" borderId="31" xfId="1" applyNumberFormat="1" applyFont="1" applyBorder="1" applyAlignment="1">
      <alignment horizontal="left" vertical="center"/>
    </xf>
    <xf numFmtId="0" fontId="5" fillId="0" borderId="31" xfId="1" applyFont="1" applyBorder="1" applyAlignment="1">
      <alignment vertical="center"/>
    </xf>
    <xf numFmtId="0" fontId="5" fillId="0" borderId="47" xfId="1" applyFont="1" applyBorder="1" applyAlignment="1">
      <alignment horizontal="center" vertical="center" wrapText="1"/>
    </xf>
    <xf numFmtId="0" fontId="5" fillId="0" borderId="31" xfId="1" applyFont="1" applyBorder="1" applyAlignment="1">
      <alignment horizontal="center" vertical="center" wrapText="1"/>
    </xf>
    <xf numFmtId="0" fontId="5" fillId="0" borderId="31" xfId="1" applyFont="1" applyBorder="1" applyAlignment="1">
      <alignment horizontal="center" vertical="center" wrapText="1"/>
    </xf>
    <xf numFmtId="0" fontId="5" fillId="0" borderId="31" xfId="1" applyFont="1" applyBorder="1" applyAlignment="1">
      <alignment horizontal="left" vertical="center" wrapText="1"/>
    </xf>
    <xf numFmtId="0" fontId="22" fillId="0" borderId="48" xfId="1" applyFont="1" applyBorder="1" applyAlignment="1">
      <alignment horizontal="center" vertical="center" wrapText="1"/>
    </xf>
    <xf numFmtId="0" fontId="22" fillId="0" borderId="49" xfId="1" applyFont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</cellXfs>
  <cellStyles count="6">
    <cellStyle name="Excel Built-in Normal" xfId="1" xr:uid="{FF038841-DF6C-4440-BAC7-C0A0B8E57898}"/>
    <cellStyle name="Hipervínculo" xfId="4" builtinId="8"/>
    <cellStyle name="Millares 3 3" xfId="2" xr:uid="{A54086D0-59A2-47B4-8984-0162BFF50987}"/>
    <cellStyle name="Moneda 2" xfId="5" xr:uid="{73045AC0-5317-4E14-A712-F30E44DA6F1C}"/>
    <cellStyle name="Moneda 3 3" xfId="3" xr:uid="{D447D624-4ADC-4791-9350-493AA95D551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129489</xdr:colOff>
      <xdr:row>32</xdr:row>
      <xdr:rowOff>70059</xdr:rowOff>
    </xdr:from>
    <xdr:ext cx="0" cy="474249"/>
    <xdr:pic>
      <xdr:nvPicPr>
        <xdr:cNvPr id="2" name="Gráfico 1" descr="Advertencia con relleno sólido">
          <a:extLst>
            <a:ext uri="{FF2B5EF4-FFF2-40B4-BE49-F238E27FC236}">
              <a16:creationId xmlns:a16="http://schemas.microsoft.com/office/drawing/2014/main" id="{C84DD635-41DE-4EA1-992C-B75C439A6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00989" y="5962859"/>
          <a:ext cx="0" cy="474249"/>
        </a:xfrm>
        <a:prstGeom prst="rect">
          <a:avLst/>
        </a:prstGeom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830513769@factureinbox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08986-5BEF-4A60-A115-8AD4ADA2F015}">
  <dimension ref="A1:IV45"/>
  <sheetViews>
    <sheetView tabSelected="1" topLeftCell="A7" workbookViewId="0">
      <selection activeCell="E21" sqref="E21:F21"/>
    </sheetView>
  </sheetViews>
  <sheetFormatPr baseColWidth="10" defaultColWidth="0" defaultRowHeight="14"/>
  <cols>
    <col min="1" max="2" width="4.08984375" style="1" customWidth="1"/>
    <col min="3" max="4" width="13.7265625" style="1" customWidth="1"/>
    <col min="5" max="5" width="16.453125" style="1" customWidth="1"/>
    <col min="6" max="6" width="61.6328125" style="1" bestFit="1" customWidth="1"/>
    <col min="7" max="7" width="21.26953125" style="1" customWidth="1"/>
    <col min="8" max="8" width="22.7265625" style="1" customWidth="1"/>
    <col min="9" max="10" width="4.08984375" style="1" customWidth="1"/>
    <col min="11" max="256" width="0" style="1" hidden="1" customWidth="1"/>
    <col min="257" max="16384" width="10.7265625" style="1" hidden="1"/>
  </cols>
  <sheetData>
    <row r="1" spans="1:11" s="2" customFormat="1"/>
    <row r="2" spans="1:11" ht="14.5" thickBot="1">
      <c r="A2" s="2"/>
      <c r="J2" s="2"/>
    </row>
    <row r="3" spans="1:11" ht="33.4" customHeight="1">
      <c r="A3" s="2"/>
      <c r="C3" s="114" t="e" vm="1">
        <v>#VALUE!</v>
      </c>
      <c r="D3" s="113"/>
      <c r="E3" s="112" t="s">
        <v>47</v>
      </c>
      <c r="F3" s="112"/>
      <c r="G3" s="112"/>
      <c r="H3" s="111"/>
      <c r="J3" s="2"/>
    </row>
    <row r="4" spans="1:11" ht="33.4" customHeight="1">
      <c r="A4" s="2"/>
      <c r="C4" s="103"/>
      <c r="D4" s="102"/>
      <c r="E4" s="110" t="s">
        <v>42</v>
      </c>
      <c r="F4" s="109" t="s">
        <v>46</v>
      </c>
      <c r="G4" s="108" t="s">
        <v>45</v>
      </c>
      <c r="H4" s="107"/>
      <c r="J4" s="2"/>
    </row>
    <row r="5" spans="1:11" ht="33.4" customHeight="1">
      <c r="A5" s="2"/>
      <c r="C5" s="103"/>
      <c r="D5" s="102"/>
      <c r="E5" s="106" t="s">
        <v>44</v>
      </c>
      <c r="F5" s="105"/>
      <c r="G5" s="105"/>
      <c r="H5" s="104"/>
      <c r="J5" s="2"/>
    </row>
    <row r="6" spans="1:11" ht="33.4" customHeight="1">
      <c r="A6" s="2"/>
      <c r="C6" s="103"/>
      <c r="D6" s="102"/>
      <c r="E6" s="101" t="s">
        <v>43</v>
      </c>
      <c r="F6" s="99"/>
      <c r="G6" s="99"/>
      <c r="H6" s="98"/>
      <c r="J6" s="2"/>
    </row>
    <row r="7" spans="1:11" ht="33.4" customHeight="1">
      <c r="A7" s="2"/>
      <c r="C7" s="103"/>
      <c r="D7" s="102"/>
      <c r="E7" s="101" t="s">
        <v>42</v>
      </c>
      <c r="F7" s="100"/>
      <c r="G7" s="99"/>
      <c r="H7" s="98"/>
      <c r="J7" s="2"/>
    </row>
    <row r="8" spans="1:11" ht="33.4" customHeight="1">
      <c r="A8" s="2"/>
      <c r="C8" s="97" t="s">
        <v>41</v>
      </c>
      <c r="D8" s="96"/>
      <c r="E8" s="96"/>
      <c r="F8" s="95" t="s">
        <v>40</v>
      </c>
      <c r="G8" s="95"/>
      <c r="H8" s="94"/>
      <c r="J8" s="2"/>
    </row>
    <row r="9" spans="1:11" ht="36.5" customHeight="1" thickBot="1">
      <c r="A9" s="2"/>
      <c r="C9" s="93" t="s">
        <v>39</v>
      </c>
      <c r="D9" s="92"/>
      <c r="E9" s="92"/>
      <c r="F9" s="91"/>
      <c r="G9" s="90" t="s">
        <v>38</v>
      </c>
      <c r="H9" s="89"/>
      <c r="J9" s="2"/>
    </row>
    <row r="10" spans="1:11" ht="33" customHeight="1">
      <c r="A10" s="2"/>
      <c r="C10" s="88" t="s">
        <v>37</v>
      </c>
      <c r="D10" s="87" t="s">
        <v>36</v>
      </c>
      <c r="E10" s="87" t="s">
        <v>35</v>
      </c>
      <c r="F10" s="87" t="s">
        <v>34</v>
      </c>
      <c r="G10" s="86" t="s">
        <v>33</v>
      </c>
      <c r="H10" s="85" t="s">
        <v>28</v>
      </c>
      <c r="J10" s="2"/>
      <c r="K10" s="79"/>
    </row>
    <row r="11" spans="1:11" ht="33" customHeight="1">
      <c r="A11" s="2"/>
      <c r="C11" s="84">
        <v>1</v>
      </c>
      <c r="D11" s="83"/>
      <c r="E11" s="83"/>
      <c r="F11" s="82"/>
      <c r="G11" s="81"/>
      <c r="H11" s="80">
        <f>+G11*D11</f>
        <v>0</v>
      </c>
      <c r="J11" s="2"/>
      <c r="K11" s="79"/>
    </row>
    <row r="12" spans="1:11" ht="33" customHeight="1">
      <c r="A12" s="2"/>
      <c r="C12" s="84">
        <v>2</v>
      </c>
      <c r="D12" s="83"/>
      <c r="E12" s="83"/>
      <c r="F12" s="82"/>
      <c r="G12" s="81"/>
      <c r="H12" s="80">
        <f>+G12*D12</f>
        <v>0</v>
      </c>
      <c r="J12" s="2"/>
      <c r="K12" s="79"/>
    </row>
    <row r="13" spans="1:11" ht="33" customHeight="1">
      <c r="A13" s="2"/>
      <c r="C13" s="84">
        <v>3</v>
      </c>
      <c r="D13" s="83"/>
      <c r="E13" s="83"/>
      <c r="F13" s="82"/>
      <c r="G13" s="81"/>
      <c r="H13" s="80">
        <f>+G13*D13</f>
        <v>0</v>
      </c>
      <c r="J13" s="2"/>
      <c r="K13" s="79"/>
    </row>
    <row r="14" spans="1:11" ht="54" customHeight="1" thickBot="1">
      <c r="A14" s="2"/>
      <c r="C14" s="78" t="s">
        <v>32</v>
      </c>
      <c r="D14" s="77"/>
      <c r="E14" s="77"/>
      <c r="F14" s="77"/>
      <c r="G14" s="77"/>
      <c r="H14" s="76"/>
      <c r="J14" s="2"/>
      <c r="K14" s="70"/>
    </row>
    <row r="15" spans="1:11" ht="25">
      <c r="A15" s="2"/>
      <c r="C15" s="75" t="s">
        <v>31</v>
      </c>
      <c r="D15" s="74"/>
      <c r="E15" s="74"/>
      <c r="F15" s="73" t="s">
        <v>30</v>
      </c>
      <c r="G15" s="72"/>
      <c r="H15" s="71"/>
      <c r="J15" s="2"/>
      <c r="K15" s="70"/>
    </row>
    <row r="16" spans="1:11" ht="23.9" customHeight="1" thickBot="1">
      <c r="A16" s="2"/>
      <c r="C16" s="65" t="s">
        <v>28</v>
      </c>
      <c r="D16" s="64"/>
      <c r="E16" s="64"/>
      <c r="F16" s="64"/>
      <c r="G16" s="63"/>
      <c r="H16" s="62">
        <f>SUM(H11:H13)</f>
        <v>0</v>
      </c>
      <c r="J16" s="2"/>
    </row>
    <row r="17" spans="1:10" ht="23.9" customHeight="1">
      <c r="A17" s="2"/>
      <c r="C17" s="69" t="s">
        <v>29</v>
      </c>
      <c r="D17" s="68"/>
      <c r="E17" s="68"/>
      <c r="F17" s="68"/>
      <c r="G17" s="67"/>
      <c r="H17" s="66">
        <f>H16*19%</f>
        <v>0</v>
      </c>
      <c r="J17" s="2"/>
    </row>
    <row r="18" spans="1:10" ht="23.9" customHeight="1" thickBot="1">
      <c r="A18" s="2"/>
      <c r="C18" s="65" t="s">
        <v>28</v>
      </c>
      <c r="D18" s="64"/>
      <c r="E18" s="64"/>
      <c r="F18" s="64"/>
      <c r="G18" s="63"/>
      <c r="H18" s="62">
        <f>H16+H17</f>
        <v>0</v>
      </c>
      <c r="J18" s="2"/>
    </row>
    <row r="19" spans="1:10" ht="23.9" customHeight="1">
      <c r="A19" s="2"/>
      <c r="C19" s="61" t="s">
        <v>27</v>
      </c>
      <c r="D19" s="60"/>
      <c r="E19" s="60"/>
      <c r="F19" s="60"/>
      <c r="G19" s="60"/>
      <c r="H19" s="59"/>
      <c r="J19" s="2"/>
    </row>
    <row r="20" spans="1:10" ht="23.9" customHeight="1">
      <c r="A20" s="2"/>
      <c r="C20" s="55" t="s">
        <v>26</v>
      </c>
      <c r="D20" s="54"/>
      <c r="E20" s="54"/>
      <c r="F20" s="54"/>
      <c r="G20" s="53" t="s">
        <v>20</v>
      </c>
      <c r="H20" s="43"/>
      <c r="J20" s="2"/>
    </row>
    <row r="21" spans="1:10" ht="23.9" customHeight="1">
      <c r="A21" s="2"/>
      <c r="C21" s="51" t="s">
        <v>26</v>
      </c>
      <c r="D21" s="50"/>
      <c r="E21" s="49" t="s">
        <v>25</v>
      </c>
      <c r="F21" s="49"/>
      <c r="G21" s="48" t="s">
        <v>11</v>
      </c>
      <c r="H21" s="58"/>
      <c r="J21" s="2"/>
    </row>
    <row r="22" spans="1:10" ht="23.9" customHeight="1">
      <c r="A22" s="2"/>
      <c r="C22" s="51" t="s">
        <v>24</v>
      </c>
      <c r="D22" s="50"/>
      <c r="E22" s="49" t="s">
        <v>22</v>
      </c>
      <c r="F22" s="49"/>
      <c r="G22" s="52"/>
      <c r="H22" s="43"/>
      <c r="J22" s="2"/>
    </row>
    <row r="23" spans="1:10" ht="23.9" customHeight="1">
      <c r="A23" s="2"/>
      <c r="C23" s="51" t="s">
        <v>23</v>
      </c>
      <c r="D23" s="50"/>
      <c r="E23" s="49" t="s">
        <v>22</v>
      </c>
      <c r="F23" s="49"/>
      <c r="G23" s="52"/>
      <c r="H23" s="43"/>
      <c r="J23" s="2"/>
    </row>
    <row r="24" spans="1:10" ht="23.9" customHeight="1">
      <c r="A24" s="2"/>
      <c r="C24" s="57"/>
      <c r="D24" s="44"/>
      <c r="E24" s="44"/>
      <c r="F24" s="44"/>
      <c r="G24" s="56"/>
      <c r="H24" s="43"/>
      <c r="J24" s="2"/>
    </row>
    <row r="25" spans="1:10" ht="23.9" customHeight="1">
      <c r="A25" s="2"/>
      <c r="C25" s="55" t="s">
        <v>21</v>
      </c>
      <c r="D25" s="54"/>
      <c r="E25" s="54"/>
      <c r="F25" s="54"/>
      <c r="G25" s="53" t="s">
        <v>20</v>
      </c>
      <c r="H25" s="43"/>
      <c r="J25" s="2"/>
    </row>
    <row r="26" spans="1:10" ht="23.9" customHeight="1">
      <c r="A26" s="2"/>
      <c r="C26" s="51" t="s">
        <v>17</v>
      </c>
      <c r="D26" s="50"/>
      <c r="E26" s="49" t="s">
        <v>19</v>
      </c>
      <c r="F26" s="49"/>
      <c r="G26" s="48" t="s">
        <v>11</v>
      </c>
      <c r="H26" s="43"/>
      <c r="J26" s="2"/>
    </row>
    <row r="27" spans="1:10" ht="23.9" customHeight="1">
      <c r="A27" s="2"/>
      <c r="C27" s="51" t="s">
        <v>17</v>
      </c>
      <c r="D27" s="50"/>
      <c r="E27" s="49" t="s">
        <v>18</v>
      </c>
      <c r="F27" s="49"/>
      <c r="G27" s="48"/>
      <c r="H27" s="43"/>
      <c r="J27" s="2"/>
    </row>
    <row r="28" spans="1:10" ht="23.9" customHeight="1">
      <c r="A28" s="2"/>
      <c r="C28" s="51" t="s">
        <v>17</v>
      </c>
      <c r="D28" s="50"/>
      <c r="E28" s="49" t="s">
        <v>16</v>
      </c>
      <c r="F28" s="49"/>
      <c r="G28" s="52"/>
      <c r="H28" s="43"/>
      <c r="J28" s="2"/>
    </row>
    <row r="29" spans="1:10" ht="23.9" customHeight="1">
      <c r="A29" s="2"/>
      <c r="C29" s="51" t="s">
        <v>15</v>
      </c>
      <c r="D29" s="50"/>
      <c r="E29" s="49" t="s">
        <v>14</v>
      </c>
      <c r="F29" s="49"/>
      <c r="G29" s="52"/>
      <c r="H29" s="43"/>
      <c r="J29" s="2"/>
    </row>
    <row r="30" spans="1:10" ht="23.9" customHeight="1">
      <c r="A30" s="2"/>
      <c r="C30" s="51" t="s">
        <v>13</v>
      </c>
      <c r="D30" s="50"/>
      <c r="E30" s="49" t="s">
        <v>12</v>
      </c>
      <c r="F30" s="49"/>
      <c r="G30" s="48" t="s">
        <v>11</v>
      </c>
      <c r="H30" s="43"/>
      <c r="J30" s="2"/>
    </row>
    <row r="31" spans="1:10">
      <c r="A31" s="2"/>
      <c r="C31" s="47"/>
      <c r="D31" s="46"/>
      <c r="E31" s="45"/>
      <c r="F31" s="45"/>
      <c r="G31" s="44"/>
      <c r="H31" s="43"/>
      <c r="J31" s="2"/>
    </row>
    <row r="32" spans="1:10">
      <c r="A32" s="2"/>
      <c r="C32" s="42" t="s">
        <v>10</v>
      </c>
      <c r="D32" s="41"/>
      <c r="E32" s="41"/>
      <c r="F32" s="41"/>
      <c r="G32" s="41"/>
      <c r="H32" s="40"/>
      <c r="J32" s="2"/>
    </row>
    <row r="33" spans="1:256" ht="29.5" customHeight="1">
      <c r="A33" s="2"/>
      <c r="C33" s="39" t="s">
        <v>9</v>
      </c>
      <c r="D33" s="38"/>
      <c r="E33" s="38"/>
      <c r="F33" s="38"/>
      <c r="G33" s="38"/>
      <c r="H33" s="37"/>
      <c r="J33" s="2"/>
    </row>
    <row r="34" spans="1:256" ht="29.5" customHeight="1">
      <c r="A34" s="2"/>
      <c r="C34" s="39"/>
      <c r="D34" s="38"/>
      <c r="E34" s="38"/>
      <c r="F34" s="38"/>
      <c r="G34" s="38"/>
      <c r="H34" s="37"/>
      <c r="J34" s="2"/>
    </row>
    <row r="35" spans="1:256" ht="29.5" customHeight="1">
      <c r="A35" s="2"/>
      <c r="C35" s="39"/>
      <c r="D35" s="38"/>
      <c r="E35" s="38"/>
      <c r="F35" s="38"/>
      <c r="G35" s="38"/>
      <c r="H35" s="37"/>
      <c r="J35" s="2"/>
    </row>
    <row r="36" spans="1:256" s="3" customFormat="1" ht="29.5" customHeight="1" thickBot="1">
      <c r="A36" s="2"/>
      <c r="C36" s="36"/>
      <c r="D36" s="35"/>
      <c r="E36" s="35"/>
      <c r="F36" s="35"/>
      <c r="G36" s="35"/>
      <c r="H36" s="34"/>
      <c r="I36" s="1"/>
      <c r="J36" s="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</row>
    <row r="37" spans="1:256" s="3" customFormat="1">
      <c r="A37" s="2"/>
      <c r="C37" s="33" t="s">
        <v>8</v>
      </c>
      <c r="D37" s="32"/>
      <c r="E37" s="32"/>
      <c r="F37" s="32"/>
      <c r="G37" s="32"/>
      <c r="H37" s="31"/>
      <c r="I37" s="1"/>
      <c r="J37" s="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</row>
    <row r="38" spans="1:256" s="3" customFormat="1">
      <c r="A38" s="2"/>
      <c r="C38" s="30" t="s">
        <v>7</v>
      </c>
      <c r="D38" s="29"/>
      <c r="E38" s="28"/>
      <c r="F38" s="27" t="s">
        <v>6</v>
      </c>
      <c r="G38" s="26" t="s">
        <v>5</v>
      </c>
      <c r="H38" s="25"/>
      <c r="I38" s="1"/>
      <c r="J38" s="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</row>
    <row r="39" spans="1:256" s="3" customFormat="1" ht="21.5">
      <c r="A39" s="2"/>
      <c r="C39" s="24" t="s">
        <v>4</v>
      </c>
      <c r="D39" s="23"/>
      <c r="E39" s="22"/>
      <c r="F39" s="21"/>
      <c r="G39" s="20"/>
      <c r="H39" s="19"/>
      <c r="I39" s="1"/>
      <c r="J39" s="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</row>
    <row r="40" spans="1:256" s="3" customFormat="1" ht="21.5">
      <c r="A40" s="2"/>
      <c r="C40" s="18" t="str">
        <f>E30</f>
        <v>Harold Florez</v>
      </c>
      <c r="D40" s="17"/>
      <c r="E40" s="16"/>
      <c r="F40" s="15" t="s">
        <v>3</v>
      </c>
      <c r="G40" s="14" t="s">
        <v>2</v>
      </c>
      <c r="H40" s="13"/>
      <c r="I40" s="1"/>
      <c r="J40" s="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</row>
    <row r="41" spans="1:256" s="3" customFormat="1">
      <c r="A41" s="2"/>
      <c r="C41" s="12"/>
      <c r="D41" s="11"/>
      <c r="E41" s="11"/>
      <c r="F41" s="11"/>
      <c r="G41" s="11"/>
      <c r="H41" s="10"/>
      <c r="I41" s="1"/>
      <c r="J41" s="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</row>
    <row r="42" spans="1:256" s="3" customFormat="1">
      <c r="A42" s="2"/>
      <c r="C42" s="9" t="s">
        <v>1</v>
      </c>
      <c r="D42" s="8"/>
      <c r="E42" s="8"/>
      <c r="F42" s="8"/>
      <c r="G42" s="8"/>
      <c r="H42" s="7"/>
      <c r="I42" s="1"/>
      <c r="J42" s="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</row>
    <row r="43" spans="1:256" s="3" customFormat="1" ht="14.5" thickBot="1">
      <c r="A43" s="2"/>
      <c r="C43" s="6" t="s">
        <v>0</v>
      </c>
      <c r="D43" s="5"/>
      <c r="E43" s="5"/>
      <c r="F43" s="5"/>
      <c r="G43" s="5"/>
      <c r="H43" s="4"/>
      <c r="I43" s="1"/>
      <c r="J43" s="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</row>
    <row r="44" spans="1:256">
      <c r="A44" s="2"/>
      <c r="J44" s="2"/>
    </row>
    <row r="45" spans="1:256">
      <c r="A45" s="2"/>
      <c r="B45" s="2"/>
      <c r="C45" s="2"/>
      <c r="D45" s="2"/>
      <c r="E45" s="2"/>
      <c r="F45" s="2"/>
      <c r="G45" s="2"/>
      <c r="H45" s="2"/>
      <c r="I45" s="2"/>
      <c r="J45" s="2"/>
    </row>
  </sheetData>
  <mergeCells count="40">
    <mergeCell ref="C42:H42"/>
    <mergeCell ref="C43:H43"/>
    <mergeCell ref="C32:H32"/>
    <mergeCell ref="C33:H36"/>
    <mergeCell ref="C37:H37"/>
    <mergeCell ref="C38:E38"/>
    <mergeCell ref="C40:E40"/>
    <mergeCell ref="C41:H41"/>
    <mergeCell ref="C28:D28"/>
    <mergeCell ref="E28:F28"/>
    <mergeCell ref="C29:D29"/>
    <mergeCell ref="E29:F29"/>
    <mergeCell ref="C30:D30"/>
    <mergeCell ref="E30:F30"/>
    <mergeCell ref="E22:F22"/>
    <mergeCell ref="C23:D23"/>
    <mergeCell ref="E23:F23"/>
    <mergeCell ref="C25:F25"/>
    <mergeCell ref="C26:D26"/>
    <mergeCell ref="E26:F26"/>
    <mergeCell ref="C14:H14"/>
    <mergeCell ref="C15:E15"/>
    <mergeCell ref="C27:D27"/>
    <mergeCell ref="E27:F27"/>
    <mergeCell ref="C17:G17"/>
    <mergeCell ref="C18:G18"/>
    <mergeCell ref="C20:F20"/>
    <mergeCell ref="C21:D21"/>
    <mergeCell ref="E21:F21"/>
    <mergeCell ref="C22:D22"/>
    <mergeCell ref="C16:G16"/>
    <mergeCell ref="C3:D7"/>
    <mergeCell ref="E3:H3"/>
    <mergeCell ref="G4:H4"/>
    <mergeCell ref="F5:H5"/>
    <mergeCell ref="F6:H6"/>
    <mergeCell ref="F7:H7"/>
    <mergeCell ref="C8:E8"/>
    <mergeCell ref="F8:H8"/>
    <mergeCell ref="C9:E9"/>
  </mergeCells>
  <hyperlinks>
    <hyperlink ref="F15" r:id="rId1" xr:uid="{FF3F1851-114A-4DC6-9A0D-5DDF18955CA9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IMC CARGO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QUINTERO ARCILA</dc:creator>
  <cp:lastModifiedBy>ANDRES FELIPE QUINTERO ARCILA</cp:lastModifiedBy>
  <dcterms:created xsi:type="dcterms:W3CDTF">2026-04-15T19:01:05Z</dcterms:created>
  <dcterms:modified xsi:type="dcterms:W3CDTF">2026-04-15T19:05:46Z</dcterms:modified>
</cp:coreProperties>
</file>