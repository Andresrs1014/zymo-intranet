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ymo-intranet\claude\"/>
    </mc:Choice>
  </mc:AlternateContent>
  <xr:revisionPtr revIDLastSave="0" documentId="8_{3C6C813F-6468-4D94-ABA9-0D0771196749}" xr6:coauthVersionLast="47" xr6:coauthVersionMax="47" xr10:uidLastSave="{00000000-0000-0000-0000-000000000000}"/>
  <bookViews>
    <workbookView xWindow="2350" yWindow="1630" windowWidth="14400" windowHeight="8170" xr2:uid="{5F00901D-42B5-4F93-81A8-46501A5E9861}"/>
  </bookViews>
  <sheets>
    <sheet name="IMC DEPOSI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5" i="2"/>
  <c r="H17" i="2"/>
  <c r="C38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<sst xmlns="http://schemas.openxmlformats.org/spreadsheetml/2006/main" count="62" uniqueCount="54">
  <si>
    <t>PBX: (1) 7 44 92 01</t>
  </si>
  <si>
    <t>IMC CARGO INTERNATIONAL SAS, KM 2.5  AUTOPISTA BOGOTA MEDELLIN 
CENTRO LOGISTICO INDUSTRIAL CLIC 80 - COTA COLOMBIA</t>
  </si>
  <si>
    <t>Sonia Gómez</t>
  </si>
  <si>
    <t>Daniela Gutierrez</t>
  </si>
  <si>
    <t>IT</t>
  </si>
  <si>
    <t>APRUEBA</t>
  </si>
  <si>
    <t>ELABORA</t>
  </si>
  <si>
    <t>SOLICITA</t>
  </si>
  <si>
    <t>FIRMA Y SELLO</t>
  </si>
  <si>
    <t xml:space="preserve">
Nuestro grupo logístico LOGIMAT SAS, IMC CARGO INTERNATIONAL SAS e IMC DEPOSITO SAS orientados bajo estándares de transparencia, seguridad e integridad empresarial y con la finalidad de asegurar relaciones comerciales saludables, dentro del marco legal y en virtud de ello siendo conscientes que a nivel global estamos expuestos a riesgos tales como, el lavado de activos, financiamiento del terrorismo, extorsión, tráfico de armas, soborno, ciberataques, contaminación de la carga, entre otros. Lo invitamos a participar en la prevención de los riesgos, manteniendo su negocio con procesos de seguridad y conocimiento de sus asociados, lo cual fortalece nuestras relaciones comerciales y evita perdida de estas y permite crecimiento entre las partes interesadas. </t>
  </si>
  <si>
    <t>Apreciado Proveedor</t>
  </si>
  <si>
    <t>X</t>
  </si>
  <si>
    <t>Favio Melo</t>
  </si>
  <si>
    <t>ENTREGAR A</t>
  </si>
  <si>
    <t xml:space="preserve">CALIDAD </t>
  </si>
  <si>
    <t>GARANTIA</t>
  </si>
  <si>
    <t>PROGRAMACIÓN FECHA</t>
  </si>
  <si>
    <t>PLAZO DE ENTREGA:</t>
  </si>
  <si>
    <t>DÍAS</t>
  </si>
  <si>
    <t>INMEDIATA</t>
  </si>
  <si>
    <t>RELACIONAR</t>
  </si>
  <si>
    <t>FORMA DE ENTREGA</t>
  </si>
  <si>
    <t>$</t>
  </si>
  <si>
    <t xml:space="preserve">PAGO SALDO </t>
  </si>
  <si>
    <t>ANTICIPO</t>
  </si>
  <si>
    <t>CONTADO</t>
  </si>
  <si>
    <t>FORMA DE PAGO</t>
  </si>
  <si>
    <t>Observaciones: el valor a pagar puede variar de acuerdo a los impuestos aplicados según la ley.</t>
  </si>
  <si>
    <t>VALOR TOTAL</t>
  </si>
  <si>
    <t>IVA 19%</t>
  </si>
  <si>
    <t>SUB TOTAL</t>
  </si>
  <si>
    <t>900907185@factureinbox.co</t>
  </si>
  <si>
    <t>Buzón Facturación</t>
  </si>
  <si>
    <r>
      <rPr>
        <b/>
        <sz val="11"/>
        <color theme="1"/>
        <rFont val="Calibri Light"/>
        <family val="2"/>
      </rPr>
      <t xml:space="preserve">Nota: 
</t>
    </r>
    <r>
      <rPr>
        <sz val="11"/>
        <color theme="1"/>
        <rFont val="Calibri Light"/>
        <family val="2"/>
      </rPr>
      <t>Todos los servicios deben ser facturados dentro del período acordado. 
No asumimos responsabilidad por servicios facturados fuera de este plazo.</t>
    </r>
  </si>
  <si>
    <t>FACTURAR SEGÚN ACUERDO</t>
  </si>
  <si>
    <t>Renovacioon dominio IMCDEPOSITO.COM</t>
  </si>
  <si>
    <t>VALOR UNITARIO</t>
  </si>
  <si>
    <t>DESCRIPCION</t>
  </si>
  <si>
    <t>REF</t>
  </si>
  <si>
    <t>CANTIDAD</t>
  </si>
  <si>
    <t>ITEM</t>
  </si>
  <si>
    <t>COT:</t>
  </si>
  <si>
    <t>OS: 03395</t>
  </si>
  <si>
    <t xml:space="preserve"> ORDEN DE COMPRA SEGÚN:</t>
  </si>
  <si>
    <t xml:space="preserve">KM 2.5  AUTOPISTA BOGOTA MEDELLIN CENTRO LOGISTICO INDUSTRIAL CLIC 80 </t>
  </si>
  <si>
    <t>LUGAR Y DIRECCION DE ENTREGA</t>
  </si>
  <si>
    <t>N/A</t>
  </si>
  <si>
    <t>NIT:</t>
  </si>
  <si>
    <t>A1 EVOLUCION PERU SRL</t>
  </si>
  <si>
    <t xml:space="preserve">SEÑORES: </t>
  </si>
  <si>
    <t xml:space="preserve">FECHA:   </t>
  </si>
  <si>
    <t>ORDEN DE COMPRA No OC D055-2026</t>
  </si>
  <si>
    <t>900.907.185-2</t>
  </si>
  <si>
    <t xml:space="preserve">IMC DEPOSITO S.A.S.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</si>
</sst>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* #,##0_-;\-* #,##0_-;_-* &quot;-&quot;??_-;_-@_-"/>
    <numFmt numFmtId="166" formatCode="_-&quot;$&quot;* #,##0.00_-;\-&quot;$&quot;* #,##0.00_-;_-&quot;$&quot;* &quot;-&quot;??_-;_-@_-"/>
    <numFmt numFmtId="167" formatCode="_-&quot;$&quot;* #,##0_-;\-&quot;$&quot;* #,##0_-;_-&quot;$&quot;* &quot;-&quot;??_-;_-@_-"/>
    <numFmt numFmtId="168" formatCode="_-&quot;$&quot;\ * #,##0.00_-;\-&quot;$&quot;\ * #,##0.00_-;_-&quot;$&quot;\ * &quot;-&quot;??_-;_-@_-"/>
    <numFmt numFmtId="169" formatCode="[$-F800]dddd\,\ mmmm\ dd\,\ yyyy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lbertus Medium"/>
      <family val="2"/>
    </font>
    <font>
      <sz val="11"/>
      <color theme="1"/>
      <name val="Albertus Medium"/>
      <family val="2"/>
    </font>
    <font>
      <b/>
      <sz val="10"/>
      <color rgb="FF000000"/>
      <name val="Aptos Display"/>
      <family val="1"/>
      <scheme val="major"/>
    </font>
    <font>
      <i/>
      <sz val="8"/>
      <color rgb="FF000000"/>
      <name val="Aptos Display"/>
      <family val="1"/>
      <scheme val="major"/>
    </font>
    <font>
      <b/>
      <sz val="11"/>
      <color rgb="FF000000"/>
      <name val="Cambria"/>
      <family val="1"/>
    </font>
    <font>
      <b/>
      <sz val="16"/>
      <color rgb="FF000000"/>
      <name val="Magneto"/>
      <family val="5"/>
    </font>
    <font>
      <b/>
      <sz val="16"/>
      <color rgb="FF000000"/>
      <name val="Calibri Light"/>
      <family val="2"/>
    </font>
    <font>
      <sz val="11"/>
      <color theme="1"/>
      <name val="Jumble"/>
    </font>
    <font>
      <b/>
      <sz val="11"/>
      <color rgb="FF000000"/>
      <name val="Calibri Light"/>
      <family val="2"/>
    </font>
    <font>
      <b/>
      <i/>
      <sz val="9"/>
      <color rgb="FF000000"/>
      <name val="Calibri Light"/>
      <family val="2"/>
    </font>
    <font>
      <b/>
      <sz val="11"/>
      <color rgb="FF000000"/>
      <name val="Aptos Display"/>
      <family val="1"/>
      <scheme val="major"/>
    </font>
    <font>
      <sz val="11"/>
      <color rgb="FF000000"/>
      <name val="Aptos Display"/>
      <family val="1"/>
      <scheme val="major"/>
    </font>
    <font>
      <sz val="11"/>
      <color rgb="FF000000"/>
      <name val="Cambria"/>
      <family val="1"/>
    </font>
    <font>
      <sz val="10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b/>
      <sz val="8"/>
      <color rgb="FF000000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b/>
      <sz val="16"/>
      <color theme="0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0"/>
      <color theme="1"/>
      <name val="Arial"/>
      <family val="2"/>
    </font>
    <font>
      <b/>
      <sz val="11"/>
      <color rgb="FF00000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color rgb="FF000000"/>
      <name val="Aptos Display"/>
      <family val="1"/>
      <scheme val="major"/>
    </font>
    <font>
      <b/>
      <sz val="10"/>
      <color rgb="FF000000"/>
      <name val="Aptos Display"/>
      <family val="2"/>
      <scheme val="major"/>
    </font>
    <font>
      <sz val="12"/>
      <color theme="1"/>
      <name val="Aptos Display"/>
      <family val="1"/>
      <scheme val="major"/>
    </font>
    <font>
      <b/>
      <sz val="16"/>
      <color rgb="FF00000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1" applyFont="1"/>
    <xf numFmtId="165" fontId="3" fillId="0" borderId="0" xfId="2" applyNumberFormat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4" fillId="0" borderId="0" xfId="0" applyFont="1"/>
    <xf numFmtId="0" fontId="4" fillId="2" borderId="0" xfId="0" applyFont="1" applyFill="1"/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4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8" fillId="0" borderId="4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9" fillId="0" borderId="4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0" xfId="1" applyFont="1" applyBorder="1" applyAlignment="1">
      <alignment horizontal="left" vertical="center"/>
    </xf>
    <xf numFmtId="0" fontId="9" fillId="0" borderId="11" xfId="1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11" fillId="0" borderId="6" xfId="1" applyFont="1" applyBorder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11" fillId="0" borderId="14" xfId="1" applyFont="1" applyBorder="1" applyAlignment="1">
      <alignment horizontal="left" vertical="center"/>
    </xf>
    <xf numFmtId="0" fontId="11" fillId="0" borderId="15" xfId="1" applyFont="1" applyBorder="1" applyAlignment="1">
      <alignment horizontal="left" vertical="center"/>
    </xf>
    <xf numFmtId="0" fontId="11" fillId="0" borderId="7" xfId="1" applyFont="1" applyBorder="1" applyAlignment="1">
      <alignment horizontal="left" vertical="center"/>
    </xf>
    <xf numFmtId="0" fontId="11" fillId="0" borderId="8" xfId="1" applyFont="1" applyBorder="1" applyAlignment="1">
      <alignment horizontal="left" vertical="center"/>
    </xf>
    <xf numFmtId="165" fontId="11" fillId="3" borderId="16" xfId="3" applyNumberFormat="1" applyFont="1" applyFill="1" applyBorder="1" applyAlignment="1">
      <alignment horizontal="center" vertical="center"/>
    </xf>
    <xf numFmtId="165" fontId="11" fillId="3" borderId="17" xfId="3" applyNumberFormat="1" applyFont="1" applyFill="1" applyBorder="1" applyAlignment="1">
      <alignment horizontal="center" vertical="center"/>
    </xf>
    <xf numFmtId="165" fontId="11" fillId="3" borderId="18" xfId="3" applyNumberFormat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2" fillId="0" borderId="19" xfId="1" applyFont="1" applyBorder="1" applyAlignment="1">
      <alignment horizontal="left" vertical="center"/>
    </xf>
    <xf numFmtId="0" fontId="12" fillId="0" borderId="20" xfId="1" applyFont="1" applyBorder="1" applyAlignment="1">
      <alignment horizontal="left" vertical="center"/>
    </xf>
    <xf numFmtId="0" fontId="12" fillId="0" borderId="21" xfId="1" applyFont="1" applyBorder="1" applyAlignment="1">
      <alignment horizontal="left" vertical="center" wrapText="1"/>
    </xf>
    <xf numFmtId="0" fontId="3" fillId="0" borderId="5" xfId="1" applyFont="1" applyBorder="1" applyAlignment="1">
      <alignment vertical="center"/>
    </xf>
    <xf numFmtId="165" fontId="13" fillId="3" borderId="22" xfId="2" applyNumberFormat="1" applyFont="1" applyFill="1" applyBorder="1" applyAlignment="1">
      <alignment horizontal="center" vertical="center"/>
    </xf>
    <xf numFmtId="165" fontId="13" fillId="3" borderId="23" xfId="2" applyNumberFormat="1" applyFont="1" applyFill="1" applyBorder="1" applyAlignment="1">
      <alignment horizontal="center" vertical="center"/>
    </xf>
    <xf numFmtId="165" fontId="13" fillId="3" borderId="24" xfId="2" applyNumberFormat="1" applyFont="1" applyFill="1" applyBorder="1" applyAlignment="1">
      <alignment horizontal="center" vertical="center"/>
    </xf>
    <xf numFmtId="0" fontId="14" fillId="0" borderId="4" xfId="1" applyFont="1" applyBorder="1" applyAlignment="1">
      <alignment vertical="center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0" fontId="15" fillId="0" borderId="5" xfId="1" applyFont="1" applyBorder="1" applyAlignment="1">
      <alignment vertical="center"/>
    </xf>
    <xf numFmtId="0" fontId="16" fillId="0" borderId="25" xfId="1" applyFont="1" applyBorder="1" applyAlignment="1">
      <alignment horizontal="center" vertical="center"/>
    </xf>
    <xf numFmtId="0" fontId="16" fillId="0" borderId="25" xfId="1" applyFont="1" applyBorder="1" applyAlignment="1">
      <alignment horizontal="left" vertical="center"/>
    </xf>
    <xf numFmtId="0" fontId="17" fillId="3" borderId="25" xfId="1" applyFont="1" applyFill="1" applyBorder="1" applyAlignment="1">
      <alignment horizontal="left" vertical="center" wrapText="1"/>
    </xf>
    <xf numFmtId="0" fontId="17" fillId="3" borderId="26" xfId="1" applyFont="1" applyFill="1" applyBorder="1" applyAlignment="1">
      <alignment horizontal="left" vertical="center" wrapText="1"/>
    </xf>
    <xf numFmtId="0" fontId="16" fillId="0" borderId="25" xfId="1" applyFont="1" applyBorder="1" applyAlignment="1">
      <alignment vertical="center"/>
    </xf>
    <xf numFmtId="0" fontId="17" fillId="3" borderId="25" xfId="1" applyFont="1" applyFill="1" applyBorder="1" applyAlignment="1">
      <alignment horizontal="center" vertical="center"/>
    </xf>
    <xf numFmtId="0" fontId="17" fillId="3" borderId="25" xfId="1" applyFont="1" applyFill="1" applyBorder="1" applyAlignment="1">
      <alignment horizontal="center" vertical="center"/>
    </xf>
    <xf numFmtId="0" fontId="17" fillId="3" borderId="26" xfId="1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0" xfId="1" applyFont="1" applyAlignment="1">
      <alignment vertical="center"/>
    </xf>
    <xf numFmtId="0" fontId="18" fillId="0" borderId="5" xfId="1" applyFont="1" applyBorder="1" applyAlignment="1">
      <alignment vertical="center"/>
    </xf>
    <xf numFmtId="0" fontId="14" fillId="0" borderId="27" xfId="1" applyFont="1" applyBorder="1" applyAlignment="1">
      <alignment vertical="center"/>
    </xf>
    <xf numFmtId="0" fontId="14" fillId="0" borderId="28" xfId="1" applyFont="1" applyBorder="1" applyAlignment="1">
      <alignment vertical="center"/>
    </xf>
    <xf numFmtId="0" fontId="19" fillId="0" borderId="29" xfId="1" applyFont="1" applyBorder="1" applyAlignment="1">
      <alignment vertical="center"/>
    </xf>
    <xf numFmtId="167" fontId="20" fillId="0" borderId="30" xfId="4" applyNumberFormat="1" applyFont="1" applyBorder="1" applyAlignment="1">
      <alignment horizontal="right" vertical="center"/>
    </xf>
    <xf numFmtId="165" fontId="13" fillId="3" borderId="31" xfId="2" applyNumberFormat="1" applyFont="1" applyFill="1" applyBorder="1" applyAlignment="1">
      <alignment horizontal="center" vertical="center"/>
    </xf>
    <xf numFmtId="165" fontId="13" fillId="3" borderId="32" xfId="2" applyNumberFormat="1" applyFont="1" applyFill="1" applyBorder="1" applyAlignment="1">
      <alignment horizontal="center" vertical="center"/>
    </xf>
    <xf numFmtId="167" fontId="20" fillId="0" borderId="33" xfId="4" applyNumberFormat="1" applyFont="1" applyBorder="1" applyAlignment="1">
      <alignment horizontal="right" vertical="center"/>
    </xf>
    <xf numFmtId="165" fontId="13" fillId="3" borderId="25" xfId="2" applyNumberFormat="1" applyFont="1" applyFill="1" applyBorder="1" applyAlignment="1">
      <alignment horizontal="center" vertical="center"/>
    </xf>
    <xf numFmtId="165" fontId="13" fillId="3" borderId="26" xfId="2" applyNumberFormat="1" applyFont="1" applyFill="1" applyBorder="1" applyAlignment="1">
      <alignment horizontal="center" vertical="center"/>
    </xf>
    <xf numFmtId="16" fontId="3" fillId="0" borderId="0" xfId="1" applyNumberFormat="1" applyFont="1"/>
    <xf numFmtId="167" fontId="21" fillId="2" borderId="34" xfId="5" applyNumberFormat="1" applyFont="1" applyFill="1" applyBorder="1" applyAlignment="1">
      <alignment horizontal="center" vertical="center"/>
    </xf>
    <xf numFmtId="167" fontId="21" fillId="2" borderId="35" xfId="5" applyNumberFormat="1" applyFont="1" applyFill="1" applyBorder="1" applyAlignment="1">
      <alignment horizontal="righ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5" xfId="1" applyFont="1" applyFill="1" applyBorder="1" applyAlignment="1">
      <alignment horizontal="left" vertical="center"/>
    </xf>
    <xf numFmtId="0" fontId="21" fillId="2" borderId="36" xfId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left" vertical="center" wrapText="1"/>
    </xf>
    <xf numFmtId="0" fontId="22" fillId="0" borderId="38" xfId="0" applyFont="1" applyBorder="1" applyAlignment="1">
      <alignment horizontal="left" vertical="center" wrapText="1"/>
    </xf>
    <xf numFmtId="0" fontId="22" fillId="0" borderId="39" xfId="0" applyFont="1" applyBorder="1" applyAlignment="1">
      <alignment horizontal="left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3" fillId="0" borderId="0" xfId="1" applyFont="1" applyAlignment="1">
      <alignment wrapText="1"/>
    </xf>
    <xf numFmtId="167" fontId="24" fillId="0" borderId="25" xfId="4" applyNumberFormat="1" applyFont="1" applyFill="1" applyBorder="1" applyAlignment="1">
      <alignment vertical="center"/>
    </xf>
    <xf numFmtId="168" fontId="25" fillId="4" borderId="25" xfId="6" applyFont="1" applyFill="1" applyBorder="1" applyAlignment="1">
      <alignment horizontal="center" vertical="center" wrapText="1"/>
    </xf>
    <xf numFmtId="0" fontId="26" fillId="0" borderId="25" xfId="0" applyFont="1" applyBorder="1" applyAlignment="1">
      <alignment horizontal="left" vertical="center" wrapText="1"/>
    </xf>
    <xf numFmtId="0" fontId="27" fillId="4" borderId="25" xfId="1" applyFont="1" applyFill="1" applyBorder="1" applyAlignment="1">
      <alignment horizontal="center" vertical="center"/>
    </xf>
    <xf numFmtId="0" fontId="27" fillId="3" borderId="42" xfId="1" applyFont="1" applyFill="1" applyBorder="1" applyAlignment="1">
      <alignment horizontal="center" vertical="center" wrapText="1"/>
    </xf>
    <xf numFmtId="0" fontId="27" fillId="3" borderId="17" xfId="1" applyFont="1" applyFill="1" applyBorder="1" applyAlignment="1">
      <alignment horizontal="center" vertical="center" wrapText="1"/>
    </xf>
    <xf numFmtId="0" fontId="27" fillId="3" borderId="17" xfId="1" applyFont="1" applyFill="1" applyBorder="1" applyAlignment="1">
      <alignment horizontal="center" vertical="center"/>
    </xf>
    <xf numFmtId="0" fontId="27" fillId="3" borderId="18" xfId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169" fontId="28" fillId="0" borderId="25" xfId="1" applyNumberFormat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left" vertical="center"/>
    </xf>
    <xf numFmtId="0" fontId="17" fillId="0" borderId="32" xfId="1" applyFont="1" applyBorder="1" applyAlignment="1">
      <alignment horizontal="left" vertical="center"/>
    </xf>
    <xf numFmtId="0" fontId="29" fillId="0" borderId="33" xfId="1" applyFont="1" applyBorder="1" applyAlignment="1">
      <alignment horizontal="left" vertical="center" wrapText="1"/>
    </xf>
    <xf numFmtId="0" fontId="29" fillId="0" borderId="25" xfId="1" applyFont="1" applyBorder="1" applyAlignment="1">
      <alignment horizontal="left" vertical="center" wrapText="1"/>
    </xf>
    <xf numFmtId="0" fontId="5" fillId="0" borderId="25" xfId="1" applyFont="1" applyBorder="1" applyAlignment="1">
      <alignment horizontal="left" vertical="center" wrapText="1"/>
    </xf>
    <xf numFmtId="0" fontId="5" fillId="0" borderId="26" xfId="1" applyFont="1" applyBorder="1" applyAlignment="1">
      <alignment horizontal="left" vertical="center" wrapText="1"/>
    </xf>
    <xf numFmtId="169" fontId="28" fillId="0" borderId="33" xfId="1" applyNumberFormat="1" applyFont="1" applyBorder="1" applyAlignment="1">
      <alignment horizontal="left" vertical="center" wrapText="1"/>
    </xf>
    <xf numFmtId="169" fontId="28" fillId="0" borderId="25" xfId="1" applyNumberFormat="1" applyFont="1" applyBorder="1" applyAlignment="1">
      <alignment horizontal="left" vertical="center" wrapText="1"/>
    </xf>
    <xf numFmtId="0" fontId="30" fillId="0" borderId="25" xfId="1" applyFont="1" applyBorder="1" applyAlignment="1">
      <alignment vertical="center" wrapText="1"/>
    </xf>
    <xf numFmtId="0" fontId="31" fillId="0" borderId="25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0" fillId="0" borderId="25" xfId="1" applyFont="1" applyBorder="1" applyAlignment="1">
      <alignment vertical="center"/>
    </xf>
    <xf numFmtId="0" fontId="30" fillId="0" borderId="33" xfId="1" applyFont="1" applyBorder="1" applyAlignment="1">
      <alignment horizontal="center" vertical="center" wrapText="1"/>
    </xf>
    <xf numFmtId="0" fontId="30" fillId="0" borderId="25" xfId="1" applyFont="1" applyBorder="1" applyAlignment="1">
      <alignment horizontal="center" vertical="center" wrapText="1"/>
    </xf>
    <xf numFmtId="0" fontId="30" fillId="0" borderId="25" xfId="1" applyFont="1" applyBorder="1" applyAlignment="1">
      <alignment horizontal="center" vertical="center" wrapText="1"/>
    </xf>
    <xf numFmtId="0" fontId="30" fillId="0" borderId="25" xfId="1" applyFont="1" applyBorder="1" applyAlignment="1">
      <alignment horizontal="left" vertical="center" wrapText="1"/>
    </xf>
    <xf numFmtId="0" fontId="32" fillId="0" borderId="16" xfId="1" applyFont="1" applyBorder="1" applyAlignment="1">
      <alignment horizontal="center" vertical="center" wrapText="1"/>
    </xf>
    <xf numFmtId="0" fontId="32" fillId="0" borderId="17" xfId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</cellXfs>
  <cellStyles count="7">
    <cellStyle name="Excel Built-in Normal" xfId="1" xr:uid="{48C00633-D33E-4289-AF98-04E7A72CDDC8}"/>
    <cellStyle name="Millares 2 2" xfId="2" xr:uid="{CDDCF8A9-278C-4581-9302-98CAE6B59482}"/>
    <cellStyle name="Millares 3 2" xfId="3" xr:uid="{3CEF9EFC-D247-4B14-A3C0-76122399C660}"/>
    <cellStyle name="Moneda 2" xfId="6" xr:uid="{EFB6D552-D40B-46AF-B739-01EAD0134D9E}"/>
    <cellStyle name="Moneda 2 2 5" xfId="4" xr:uid="{AF7FC076-C6AF-4674-AF78-9BB6AED15063}"/>
    <cellStyle name="Moneda 3 2" xfId="5" xr:uid="{37E1EC95-2A6E-4372-B61C-4ADF74A9E15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93</xdr:row>
      <xdr:rowOff>28576</xdr:rowOff>
    </xdr:from>
    <xdr:ext cx="0" cy="163166"/>
    <xdr:pic>
      <xdr:nvPicPr>
        <xdr:cNvPr id="2" name="Imagen 1">
          <a:extLst>
            <a:ext uri="{FF2B5EF4-FFF2-40B4-BE49-F238E27FC236}">
              <a16:creationId xmlns:a16="http://schemas.microsoft.com/office/drawing/2014/main" id="{D0406A51-85DF-44C3-97ED-F1CE207AD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grayscl/>
        </a:blip>
        <a:srcRect l="18595" t="20967" r="60944"/>
        <a:stretch/>
      </xdr:blipFill>
      <xdr:spPr>
        <a:xfrm rot="16200000">
          <a:off x="-81583" y="17236109"/>
          <a:ext cx="163166" cy="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  <xdr:oneCellAnchor>
    <xdr:from>
      <xdr:col>2</xdr:col>
      <xdr:colOff>112058</xdr:colOff>
      <xdr:row>31</xdr:row>
      <xdr:rowOff>46504</xdr:rowOff>
    </xdr:from>
    <xdr:ext cx="0" cy="602689"/>
    <xdr:pic>
      <xdr:nvPicPr>
        <xdr:cNvPr id="3" name="Gráfico 2" descr="Advertencia con relleno sólido">
          <a:extLst>
            <a:ext uri="{FF2B5EF4-FFF2-40B4-BE49-F238E27FC236}">
              <a16:creationId xmlns:a16="http://schemas.microsoft.com/office/drawing/2014/main" id="{3F302B38-521F-4DB1-9A55-6831DD1BC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31158" y="5755154"/>
          <a:ext cx="0" cy="602689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5DA2-12C2-4D26-8CEB-4113728014FE}">
  <dimension ref="A1:IV45"/>
  <sheetViews>
    <sheetView tabSelected="1" topLeftCell="B18" workbookViewId="0">
      <selection activeCell="C13" sqref="C13:H13"/>
    </sheetView>
  </sheetViews>
  <sheetFormatPr baseColWidth="10" defaultColWidth="0" defaultRowHeight="13.5" customHeight="1"/>
  <cols>
    <col min="1" max="2" width="3" style="1" customWidth="1"/>
    <col min="3" max="3" width="10.90625" style="1" customWidth="1"/>
    <col min="4" max="4" width="10.1796875" style="1" bestFit="1" customWidth="1"/>
    <col min="5" max="5" width="19" style="1" customWidth="1"/>
    <col min="6" max="6" width="47.36328125" style="1" customWidth="1"/>
    <col min="7" max="8" width="16.81640625" style="1" customWidth="1"/>
    <col min="9" max="10" width="3" style="1" customWidth="1"/>
    <col min="11" max="256" width="0" style="1" hidden="1" customWidth="1"/>
    <col min="257" max="16384" width="10.7265625" style="1" hidden="1"/>
  </cols>
  <sheetData>
    <row r="1" spans="1:256" ht="14">
      <c r="A1" s="3"/>
      <c r="B1" s="3"/>
      <c r="C1" s="3"/>
      <c r="D1" s="3"/>
      <c r="E1" s="3"/>
      <c r="F1" s="3"/>
      <c r="G1" s="3"/>
      <c r="H1" s="3"/>
      <c r="I1" s="3"/>
      <c r="J1" s="3"/>
    </row>
    <row r="2" spans="1:256" ht="14.5" thickBot="1">
      <c r="A2" s="3"/>
      <c r="B2" s="4"/>
      <c r="C2" s="4"/>
      <c r="D2" s="4"/>
      <c r="E2" s="4"/>
      <c r="F2" s="4"/>
      <c r="G2" s="4"/>
      <c r="H2" s="4"/>
      <c r="I2" s="4"/>
      <c r="J2" s="3"/>
    </row>
    <row r="3" spans="1:256" ht="21">
      <c r="A3" s="3"/>
      <c r="B3" s="4"/>
      <c r="C3" s="116" t="e" vm="1">
        <v>#VALUE!</v>
      </c>
      <c r="D3" s="115"/>
      <c r="E3" s="114" t="s">
        <v>53</v>
      </c>
      <c r="F3" s="114"/>
      <c r="G3" s="114"/>
      <c r="H3" s="113"/>
      <c r="I3" s="4"/>
      <c r="J3" s="3"/>
    </row>
    <row r="4" spans="1:256" ht="18.399999999999999" customHeight="1">
      <c r="A4" s="3"/>
      <c r="B4" s="4"/>
      <c r="C4" s="107"/>
      <c r="D4" s="106"/>
      <c r="E4" s="112" t="s">
        <v>47</v>
      </c>
      <c r="F4" s="111" t="s">
        <v>52</v>
      </c>
      <c r="G4" s="110" t="s">
        <v>51</v>
      </c>
      <c r="H4" s="109"/>
      <c r="I4" s="4"/>
      <c r="J4" s="3"/>
    </row>
    <row r="5" spans="1:256" ht="18.399999999999999" customHeight="1">
      <c r="A5" s="3"/>
      <c r="B5" s="4"/>
      <c r="C5" s="107"/>
      <c r="D5" s="106"/>
      <c r="E5" s="108" t="s">
        <v>50</v>
      </c>
      <c r="F5" s="104">
        <v>46084</v>
      </c>
      <c r="G5" s="104"/>
      <c r="H5" s="103"/>
      <c r="I5" s="4"/>
      <c r="J5" s="3"/>
    </row>
    <row r="6" spans="1:256" ht="18.399999999999999" customHeight="1">
      <c r="A6" s="3"/>
      <c r="B6" s="4"/>
      <c r="C6" s="107"/>
      <c r="D6" s="106"/>
      <c r="E6" s="105" t="s">
        <v>49</v>
      </c>
      <c r="F6" s="104" t="s">
        <v>48</v>
      </c>
      <c r="G6" s="104"/>
      <c r="H6" s="103"/>
      <c r="I6" s="4"/>
      <c r="J6" s="3"/>
    </row>
    <row r="7" spans="1:256" ht="18.399999999999999" customHeight="1">
      <c r="A7" s="3"/>
      <c r="B7" s="4"/>
      <c r="C7" s="107"/>
      <c r="D7" s="106"/>
      <c r="E7" s="105" t="s">
        <v>47</v>
      </c>
      <c r="F7" s="104" t="s">
        <v>46</v>
      </c>
      <c r="G7" s="104"/>
      <c r="H7" s="103"/>
      <c r="I7" s="4"/>
      <c r="J7" s="3"/>
    </row>
    <row r="8" spans="1:256" ht="18.399999999999999" customHeight="1">
      <c r="A8" s="3"/>
      <c r="B8" s="4"/>
      <c r="C8" s="102" t="s">
        <v>45</v>
      </c>
      <c r="D8" s="101"/>
      <c r="E8" s="101"/>
      <c r="F8" s="100" t="s">
        <v>44</v>
      </c>
      <c r="G8" s="100"/>
      <c r="H8" s="99"/>
      <c r="I8" s="4"/>
      <c r="J8" s="3"/>
    </row>
    <row r="9" spans="1:256" ht="44" customHeight="1" thickBot="1">
      <c r="A9" s="3"/>
      <c r="B9" s="4"/>
      <c r="C9" s="98" t="s">
        <v>43</v>
      </c>
      <c r="D9" s="97"/>
      <c r="E9" s="97"/>
      <c r="F9" s="96" t="s">
        <v>42</v>
      </c>
      <c r="G9" s="96" t="s">
        <v>41</v>
      </c>
      <c r="H9" s="95">
        <v>279901</v>
      </c>
      <c r="I9" s="4"/>
      <c r="J9" s="3"/>
    </row>
    <row r="10" spans="1:256" ht="14.5">
      <c r="A10" s="3"/>
      <c r="B10" s="4"/>
      <c r="C10" s="94" t="s">
        <v>40</v>
      </c>
      <c r="D10" s="93" t="s">
        <v>39</v>
      </c>
      <c r="E10" s="93" t="s">
        <v>38</v>
      </c>
      <c r="F10" s="92" t="s">
        <v>37</v>
      </c>
      <c r="G10" s="92" t="s">
        <v>36</v>
      </c>
      <c r="H10" s="91" t="s">
        <v>28</v>
      </c>
      <c r="I10" s="4"/>
      <c r="J10" s="3"/>
      <c r="K10" s="86"/>
    </row>
    <row r="11" spans="1:256" ht="14.5">
      <c r="A11" s="3"/>
      <c r="B11" s="4"/>
      <c r="C11" s="90">
        <v>1</v>
      </c>
      <c r="D11" s="90">
        <v>1</v>
      </c>
      <c r="E11" s="90"/>
      <c r="F11" s="89" t="s">
        <v>35</v>
      </c>
      <c r="G11" s="88">
        <v>60720.19</v>
      </c>
      <c r="H11" s="87">
        <f>+G11*D11</f>
        <v>60720.19</v>
      </c>
      <c r="I11" s="4"/>
      <c r="J11" s="3"/>
      <c r="K11" s="86"/>
    </row>
    <row r="12" spans="1:256" ht="21" customHeight="1">
      <c r="A12" s="3"/>
      <c r="B12" s="4"/>
      <c r="C12" s="85" t="s">
        <v>34</v>
      </c>
      <c r="D12" s="84"/>
      <c r="E12" s="84"/>
      <c r="F12" s="84"/>
      <c r="G12" s="84"/>
      <c r="H12" s="83"/>
      <c r="I12" s="4"/>
      <c r="J12" s="3"/>
      <c r="K12" s="74"/>
    </row>
    <row r="13" spans="1:256" ht="59.25" customHeight="1" thickBot="1">
      <c r="A13" s="3"/>
      <c r="B13" s="4"/>
      <c r="C13" s="82" t="s">
        <v>33</v>
      </c>
      <c r="D13" s="81"/>
      <c r="E13" s="81"/>
      <c r="F13" s="81"/>
      <c r="G13" s="81"/>
      <c r="H13" s="80"/>
      <c r="I13" s="4"/>
      <c r="J13" s="3"/>
      <c r="K13" s="74"/>
    </row>
    <row r="14" spans="1:256" ht="21">
      <c r="A14" s="3"/>
      <c r="B14" s="4"/>
      <c r="C14" s="79" t="s">
        <v>32</v>
      </c>
      <c r="D14" s="78"/>
      <c r="E14" s="78"/>
      <c r="F14" s="77" t="s">
        <v>31</v>
      </c>
      <c r="G14" s="76"/>
      <c r="H14" s="75"/>
      <c r="I14" s="4"/>
      <c r="J14" s="3"/>
      <c r="K14" s="74"/>
    </row>
    <row r="15" spans="1:256" s="5" customFormat="1" ht="14.5">
      <c r="A15" s="6"/>
      <c r="B15" s="10"/>
      <c r="C15" s="73" t="s">
        <v>30</v>
      </c>
      <c r="D15" s="72"/>
      <c r="E15" s="72"/>
      <c r="F15" s="72"/>
      <c r="G15" s="72"/>
      <c r="H15" s="71">
        <f>SUM(H11:H11)</f>
        <v>60720.19</v>
      </c>
      <c r="I15" s="4"/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s="5" customFormat="1" ht="14.5">
      <c r="A16" s="6"/>
      <c r="B16" s="10"/>
      <c r="C16" s="73" t="s">
        <v>29</v>
      </c>
      <c r="D16" s="72"/>
      <c r="E16" s="72"/>
      <c r="F16" s="72"/>
      <c r="G16" s="72"/>
      <c r="H16" s="71"/>
      <c r="I16" s="4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15" thickBot="1">
      <c r="A17" s="3"/>
      <c r="B17" s="4"/>
      <c r="C17" s="70" t="s">
        <v>28</v>
      </c>
      <c r="D17" s="69"/>
      <c r="E17" s="69"/>
      <c r="F17" s="69"/>
      <c r="G17" s="69"/>
      <c r="H17" s="68">
        <f>H16+H15</f>
        <v>60720.19</v>
      </c>
      <c r="I17" s="4"/>
      <c r="J17" s="3"/>
    </row>
    <row r="18" spans="1:256" ht="21.75" customHeight="1">
      <c r="A18" s="3"/>
      <c r="B18" s="4"/>
      <c r="C18" s="67" t="s">
        <v>27</v>
      </c>
      <c r="D18" s="66"/>
      <c r="E18" s="66"/>
      <c r="F18" s="66"/>
      <c r="G18" s="66"/>
      <c r="H18" s="65"/>
      <c r="I18" s="4"/>
      <c r="J18" s="3"/>
    </row>
    <row r="19" spans="1:256" ht="14.5">
      <c r="A19" s="3"/>
      <c r="B19" s="4"/>
      <c r="C19" s="61" t="s">
        <v>26</v>
      </c>
      <c r="D19" s="60"/>
      <c r="E19" s="60"/>
      <c r="F19" s="60"/>
      <c r="G19" s="59" t="s">
        <v>20</v>
      </c>
      <c r="H19" s="50"/>
      <c r="I19" s="4"/>
      <c r="J19" s="3"/>
    </row>
    <row r="20" spans="1:256" ht="14.5">
      <c r="A20" s="3"/>
      <c r="B20" s="4"/>
      <c r="C20" s="57" t="s">
        <v>26</v>
      </c>
      <c r="D20" s="56"/>
      <c r="E20" s="55" t="s">
        <v>25</v>
      </c>
      <c r="F20" s="55"/>
      <c r="G20" s="54" t="s">
        <v>11</v>
      </c>
      <c r="H20" s="50"/>
      <c r="I20" s="4"/>
      <c r="J20" s="3"/>
    </row>
    <row r="21" spans="1:256" ht="14.5">
      <c r="A21" s="3"/>
      <c r="B21" s="4"/>
      <c r="C21" s="57" t="s">
        <v>24</v>
      </c>
      <c r="D21" s="56"/>
      <c r="E21" s="55" t="s">
        <v>22</v>
      </c>
      <c r="F21" s="55"/>
      <c r="G21" s="58"/>
      <c r="H21" s="50"/>
      <c r="I21" s="4"/>
      <c r="J21" s="3"/>
    </row>
    <row r="22" spans="1:256" ht="14.5">
      <c r="A22" s="3"/>
      <c r="B22" s="4"/>
      <c r="C22" s="57" t="s">
        <v>23</v>
      </c>
      <c r="D22" s="56"/>
      <c r="E22" s="55" t="s">
        <v>22</v>
      </c>
      <c r="F22" s="55"/>
      <c r="G22" s="58"/>
      <c r="H22" s="50"/>
      <c r="I22" s="4"/>
      <c r="J22" s="3"/>
    </row>
    <row r="23" spans="1:256" ht="9.9" customHeight="1">
      <c r="A23" s="3"/>
      <c r="B23" s="4"/>
      <c r="C23" s="64"/>
      <c r="D23" s="63"/>
      <c r="E23" s="63"/>
      <c r="F23" s="63"/>
      <c r="G23" s="62"/>
      <c r="H23" s="50"/>
      <c r="I23" s="4"/>
      <c r="J23" s="3"/>
    </row>
    <row r="24" spans="1:256" ht="14.5">
      <c r="A24" s="3"/>
      <c r="B24" s="4"/>
      <c r="C24" s="61" t="s">
        <v>21</v>
      </c>
      <c r="D24" s="60"/>
      <c r="E24" s="60"/>
      <c r="F24" s="60"/>
      <c r="G24" s="59" t="s">
        <v>20</v>
      </c>
      <c r="H24" s="50"/>
      <c r="I24" s="4"/>
      <c r="J24" s="3"/>
    </row>
    <row r="25" spans="1:256" ht="14.5">
      <c r="A25" s="3"/>
      <c r="B25" s="4"/>
      <c r="C25" s="57" t="s">
        <v>17</v>
      </c>
      <c r="D25" s="56"/>
      <c r="E25" s="55" t="s">
        <v>19</v>
      </c>
      <c r="F25" s="55"/>
      <c r="G25" s="54"/>
      <c r="H25" s="50"/>
      <c r="I25" s="4"/>
      <c r="J25" s="3"/>
    </row>
    <row r="26" spans="1:256" ht="14.5">
      <c r="A26" s="3"/>
      <c r="B26" s="4"/>
      <c r="C26" s="57" t="s">
        <v>17</v>
      </c>
      <c r="D26" s="56"/>
      <c r="E26" s="55" t="s">
        <v>18</v>
      </c>
      <c r="F26" s="55"/>
      <c r="G26" s="54">
        <v>1</v>
      </c>
      <c r="H26" s="50"/>
      <c r="I26" s="4"/>
      <c r="J26" s="3"/>
    </row>
    <row r="27" spans="1:256" ht="14.5">
      <c r="A27" s="3"/>
      <c r="B27" s="4"/>
      <c r="C27" s="57" t="s">
        <v>17</v>
      </c>
      <c r="D27" s="56"/>
      <c r="E27" s="55" t="s">
        <v>16</v>
      </c>
      <c r="F27" s="55"/>
      <c r="G27" s="58"/>
      <c r="H27" s="50"/>
      <c r="I27" s="4"/>
      <c r="J27" s="3"/>
    </row>
    <row r="28" spans="1:256" ht="14.5">
      <c r="A28" s="3"/>
      <c r="B28" s="4"/>
      <c r="C28" s="57" t="s">
        <v>15</v>
      </c>
      <c r="D28" s="56"/>
      <c r="E28" s="55" t="s">
        <v>14</v>
      </c>
      <c r="F28" s="55"/>
      <c r="G28" s="58"/>
      <c r="H28" s="50"/>
      <c r="I28" s="4"/>
      <c r="J28" s="3"/>
    </row>
    <row r="29" spans="1:256" ht="14.5">
      <c r="A29" s="3"/>
      <c r="B29" s="4"/>
      <c r="C29" s="57" t="s">
        <v>13</v>
      </c>
      <c r="D29" s="56"/>
      <c r="E29" s="55" t="s">
        <v>12</v>
      </c>
      <c r="F29" s="55"/>
      <c r="G29" s="54" t="s">
        <v>11</v>
      </c>
      <c r="H29" s="50"/>
      <c r="I29" s="4"/>
      <c r="J29" s="3"/>
    </row>
    <row r="30" spans="1:256" ht="9.9" customHeight="1">
      <c r="A30" s="3"/>
      <c r="B30" s="4"/>
      <c r="C30" s="53"/>
      <c r="D30" s="52"/>
      <c r="E30" s="52"/>
      <c r="F30" s="52"/>
      <c r="G30" s="51"/>
      <c r="H30" s="50"/>
      <c r="I30" s="4"/>
      <c r="J30" s="3"/>
    </row>
    <row r="31" spans="1:256" s="5" customFormat="1" ht="14.5">
      <c r="A31" s="6"/>
      <c r="B31" s="10"/>
      <c r="C31" s="49" t="s">
        <v>10</v>
      </c>
      <c r="D31" s="48"/>
      <c r="E31" s="48"/>
      <c r="F31" s="48"/>
      <c r="G31" s="48"/>
      <c r="H31" s="47"/>
      <c r="I31" s="46"/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s="5" customFormat="1" ht="39.9" customHeight="1">
      <c r="A32" s="6"/>
      <c r="B32" s="10"/>
      <c r="C32" s="45" t="s">
        <v>9</v>
      </c>
      <c r="D32" s="44"/>
      <c r="E32" s="44"/>
      <c r="F32" s="44"/>
      <c r="G32" s="44"/>
      <c r="H32" s="43"/>
      <c r="I32" s="4"/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s="5" customFormat="1" ht="39.9" customHeight="1">
      <c r="A33" s="6"/>
      <c r="B33" s="10"/>
      <c r="C33" s="42"/>
      <c r="D33" s="41"/>
      <c r="E33" s="41"/>
      <c r="F33" s="41"/>
      <c r="G33" s="41"/>
      <c r="H33" s="40"/>
      <c r="I33" s="4"/>
      <c r="J33" s="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s="5" customFormat="1" ht="39.9" customHeight="1" thickBot="1">
      <c r="A34" s="6"/>
      <c r="B34" s="10"/>
      <c r="C34" s="39"/>
      <c r="D34" s="38"/>
      <c r="E34" s="38"/>
      <c r="F34" s="38"/>
      <c r="G34" s="38"/>
      <c r="H34" s="37"/>
      <c r="I34" s="4"/>
      <c r="J34" s="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s="5" customFormat="1" ht="14.5">
      <c r="A35" s="6"/>
      <c r="B35" s="10"/>
      <c r="C35" s="36" t="s">
        <v>8</v>
      </c>
      <c r="D35" s="35"/>
      <c r="E35" s="35"/>
      <c r="F35" s="35"/>
      <c r="G35" s="35"/>
      <c r="H35" s="34"/>
      <c r="I35" s="4"/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s="5" customFormat="1" ht="14.5">
      <c r="A36" s="6"/>
      <c r="B36" s="10"/>
      <c r="C36" s="33" t="s">
        <v>7</v>
      </c>
      <c r="D36" s="32"/>
      <c r="E36" s="31"/>
      <c r="F36" s="30" t="s">
        <v>6</v>
      </c>
      <c r="G36" s="29" t="s">
        <v>5</v>
      </c>
      <c r="H36" s="28"/>
      <c r="I36" s="4"/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s="5" customFormat="1" ht="21">
      <c r="A37" s="6"/>
      <c r="B37" s="10"/>
      <c r="C37" s="27" t="s">
        <v>4</v>
      </c>
      <c r="D37" s="24"/>
      <c r="E37" s="26"/>
      <c r="F37" s="25"/>
      <c r="G37" s="24"/>
      <c r="H37" s="23"/>
      <c r="I37" s="4"/>
      <c r="J37" s="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s="5" customFormat="1" ht="21.5">
      <c r="A38" s="6"/>
      <c r="B38" s="10"/>
      <c r="C38" s="22" t="str">
        <f>E29</f>
        <v>Favio Melo</v>
      </c>
      <c r="D38" s="21"/>
      <c r="E38" s="20"/>
      <c r="F38" s="19" t="s">
        <v>3</v>
      </c>
      <c r="G38" s="18" t="s">
        <v>2</v>
      </c>
      <c r="H38" s="17"/>
      <c r="I38" s="4"/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s="5" customFormat="1" ht="9.9" customHeight="1">
      <c r="A39" s="6"/>
      <c r="B39" s="10"/>
      <c r="C39" s="16"/>
      <c r="D39" s="15"/>
      <c r="E39" s="15"/>
      <c r="F39" s="15"/>
      <c r="G39" s="15"/>
      <c r="H39" s="14"/>
      <c r="I39" s="4"/>
      <c r="J39" s="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s="5" customFormat="1" ht="21" customHeight="1">
      <c r="A40" s="6"/>
      <c r="B40" s="10"/>
      <c r="C40" s="13" t="s">
        <v>1</v>
      </c>
      <c r="D40" s="12"/>
      <c r="E40" s="12"/>
      <c r="F40" s="12"/>
      <c r="G40" s="12"/>
      <c r="H40" s="11"/>
      <c r="I40" s="4"/>
      <c r="J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s="5" customFormat="1" ht="21" customHeight="1" thickBot="1">
      <c r="A41" s="6"/>
      <c r="B41" s="10"/>
      <c r="C41" s="9" t="s">
        <v>0</v>
      </c>
      <c r="D41" s="8"/>
      <c r="E41" s="8"/>
      <c r="F41" s="8"/>
      <c r="G41" s="8"/>
      <c r="H41" s="7"/>
      <c r="I41" s="4"/>
      <c r="J41" s="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ht="14">
      <c r="A42" s="3"/>
      <c r="B42" s="4"/>
      <c r="C42" s="4"/>
      <c r="D42" s="4"/>
      <c r="E42" s="4"/>
      <c r="F42" s="4"/>
      <c r="G42" s="4"/>
      <c r="H42" s="4"/>
      <c r="I42" s="4"/>
      <c r="J42" s="3"/>
    </row>
    <row r="43" spans="1:256" ht="14">
      <c r="A43" s="3"/>
      <c r="B43" s="3"/>
      <c r="C43" s="3"/>
      <c r="D43" s="3"/>
      <c r="E43" s="3"/>
      <c r="F43" s="3"/>
      <c r="G43" s="3"/>
      <c r="H43" s="3"/>
      <c r="I43" s="3"/>
      <c r="J43" s="3"/>
    </row>
    <row r="45" spans="1:256" ht="14">
      <c r="H45" s="2"/>
    </row>
  </sheetData>
  <mergeCells count="43">
    <mergeCell ref="C38:E38"/>
    <mergeCell ref="G38:H38"/>
    <mergeCell ref="C39:H39"/>
    <mergeCell ref="C40:H40"/>
    <mergeCell ref="C41:H41"/>
    <mergeCell ref="G36:H36"/>
    <mergeCell ref="C26:D26"/>
    <mergeCell ref="E26:F26"/>
    <mergeCell ref="C27:D27"/>
    <mergeCell ref="E27:F27"/>
    <mergeCell ref="C28:D28"/>
    <mergeCell ref="E28:F28"/>
    <mergeCell ref="C29:D29"/>
    <mergeCell ref="E29:F29"/>
    <mergeCell ref="C31:H31"/>
    <mergeCell ref="C21:D21"/>
    <mergeCell ref="E21:F21"/>
    <mergeCell ref="C22:D22"/>
    <mergeCell ref="E22:F22"/>
    <mergeCell ref="C24:F24"/>
    <mergeCell ref="C36:E36"/>
    <mergeCell ref="C32:H34"/>
    <mergeCell ref="C35:H35"/>
    <mergeCell ref="C12:H12"/>
    <mergeCell ref="C13:H13"/>
    <mergeCell ref="C25:D25"/>
    <mergeCell ref="E25:F25"/>
    <mergeCell ref="C15:G15"/>
    <mergeCell ref="C16:G16"/>
    <mergeCell ref="C17:G17"/>
    <mergeCell ref="C19:F19"/>
    <mergeCell ref="C20:D20"/>
    <mergeCell ref="E20:F20"/>
    <mergeCell ref="C14:E14"/>
    <mergeCell ref="C3:D7"/>
    <mergeCell ref="E3:H3"/>
    <mergeCell ref="G4:H4"/>
    <mergeCell ref="F5:H5"/>
    <mergeCell ref="F6:H6"/>
    <mergeCell ref="F7:H7"/>
    <mergeCell ref="C8:E8"/>
    <mergeCell ref="F8:H8"/>
    <mergeCell ref="C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IMC DEPOSITO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QUINTERO ARCILA</dc:creator>
  <cp:lastModifiedBy>ANDRES FELIPE QUINTERO ARCILA</cp:lastModifiedBy>
  <dcterms:created xsi:type="dcterms:W3CDTF">2026-04-15T18:59:47Z</dcterms:created>
  <dcterms:modified xsi:type="dcterms:W3CDTF">2026-04-15T19:01:00Z</dcterms:modified>
</cp:coreProperties>
</file>