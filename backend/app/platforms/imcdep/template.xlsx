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zymo-intranet\backend\app\platforms\imcdep\"/>
    </mc:Choice>
  </mc:AlternateContent>
  <xr:revisionPtr revIDLastSave="0" documentId="13_ncr:1_{00E8DBC8-EF62-4F27-8B35-48E651D93465}" xr6:coauthVersionLast="47" xr6:coauthVersionMax="47" xr10:uidLastSave="{00000000-0000-0000-0000-000000000000}"/>
  <bookViews>
    <workbookView xWindow="-19310" yWindow="-620" windowWidth="19420" windowHeight="11500" xr2:uid="{5F00901D-42B5-4F93-81A8-46501A5E9861}"/>
  </bookViews>
  <sheets>
    <sheet name="IMC DEPOSITO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2" l="1"/>
  <c r="H18" i="2" s="1"/>
  <c r="H20" i="2" s="1"/>
  <c r="C4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<sst xmlns="http://schemas.openxmlformats.org/spreadsheetml/2006/main" count="62" uniqueCount="54">
  <si>
    <t>PBX: (1) 7 44 92 01</t>
  </si>
  <si>
    <t>IMC CARGO INTERNATIONAL SAS, KM 2.5  AUTOPISTA BOGOTA MEDELLIN 
CENTRO LOGISTICO INDUSTRIAL CLIC 80 - COTA COLOMBIA</t>
  </si>
  <si>
    <t>Sonia Gómez</t>
  </si>
  <si>
    <t>Daniela Gutierrez</t>
  </si>
  <si>
    <t>IT</t>
  </si>
  <si>
    <t>APRUEBA</t>
  </si>
  <si>
    <t>ELABORA</t>
  </si>
  <si>
    <t>SOLICITA</t>
  </si>
  <si>
    <t>FIRMA Y SELLO</t>
  </si>
  <si>
    <t xml:space="preserve">
Nuestro grupo logístico LOGIMAT SAS, IMC CARGO INTERNATIONAL SAS e IMC DEPOSITO SAS orientados bajo estándares de transparencia, seguridad e integridad empresarial y con la finalidad de asegurar relaciones comerciales saludables, dentro del marco legal y en virtud de ello siendo conscientes que a nivel global estamos expuestos a riesgos tales como, el lavado de activos, financiamiento del terrorismo, extorsión, tráfico de armas, soborno, ciberataques, contaminación de la carga, entre otros. Lo invitamos a participar en la prevención de los riesgos, manteniendo su negocio con procesos de seguridad y conocimiento de sus asociados, lo cual fortalece nuestras relaciones comerciales y evita perdida de estas y permite crecimiento entre las partes interesadas. </t>
  </si>
  <si>
    <t>Apreciado Proveedor</t>
  </si>
  <si>
    <t>X</t>
  </si>
  <si>
    <t>Favio Melo</t>
  </si>
  <si>
    <t>ENTREGAR A</t>
  </si>
  <si>
    <t xml:space="preserve">CALIDAD </t>
  </si>
  <si>
    <t>GARANTIA</t>
  </si>
  <si>
    <t>PROGRAMACIÓN FECHA</t>
  </si>
  <si>
    <t>PLAZO DE ENTREGA:</t>
  </si>
  <si>
    <t>DÍAS</t>
  </si>
  <si>
    <t>INMEDIATA</t>
  </si>
  <si>
    <t>RELACIONAR</t>
  </si>
  <si>
    <t>FORMA DE ENTREGA</t>
  </si>
  <si>
    <t>$</t>
  </si>
  <si>
    <t xml:space="preserve">PAGO SALDO </t>
  </si>
  <si>
    <t>ANTICIPO</t>
  </si>
  <si>
    <t>CONTADO</t>
  </si>
  <si>
    <t>FORMA DE PAGO</t>
  </si>
  <si>
    <t>Observaciones: el valor a pagar puede variar de acuerdo a los impuestos aplicados según la ley.</t>
  </si>
  <si>
    <t>VALOR TOTAL</t>
  </si>
  <si>
    <t>IVA 19%</t>
  </si>
  <si>
    <t>SUB TOTAL</t>
  </si>
  <si>
    <t>900907185@factureinbox.co</t>
  </si>
  <si>
    <t>Buzón Facturación</t>
  </si>
  <si>
    <r>
      <rPr>
        <b/>
        <sz val="11"/>
        <color theme="1"/>
        <rFont val="Calibri Light"/>
        <family val="2"/>
      </rPr>
      <t xml:space="preserve">Nota: 
</t>
    </r>
    <r>
      <rPr>
        <sz val="11"/>
        <color theme="1"/>
        <rFont val="Calibri Light"/>
        <family val="2"/>
      </rPr>
      <t>Todos los servicios deben ser facturados dentro del período acordado. 
No asumimos responsabilidad por servicios facturados fuera de este plazo.</t>
    </r>
  </si>
  <si>
    <t>FACTURAR SEGÚN ACUERDO</t>
  </si>
  <si>
    <t>Renovacioon dominio IMCDEPOSITO.COM</t>
  </si>
  <si>
    <t>VALOR UNITARIO</t>
  </si>
  <si>
    <t>DESCRIPCION</t>
  </si>
  <si>
    <t>REF</t>
  </si>
  <si>
    <t>CANTIDAD</t>
  </si>
  <si>
    <t>ITEM</t>
  </si>
  <si>
    <t>COT:</t>
  </si>
  <si>
    <t>OS: 03395</t>
  </si>
  <si>
    <t xml:space="preserve"> ORDEN DE COMPRA SEGÚN:</t>
  </si>
  <si>
    <t xml:space="preserve">KM 2.5  AUTOPISTA BOGOTA MEDELLIN CENTRO LOGISTICO INDUSTRIAL CLIC 80 </t>
  </si>
  <si>
    <t>LUGAR Y DIRECCION DE ENTREGA</t>
  </si>
  <si>
    <t>N/A</t>
  </si>
  <si>
    <t>NIT:</t>
  </si>
  <si>
    <t>A1 EVOLUCION PERU SRL</t>
  </si>
  <si>
    <t xml:space="preserve">SEÑORES: </t>
  </si>
  <si>
    <t xml:space="preserve">FECHA:   </t>
  </si>
  <si>
    <t>ORDEN DE COMPRA No OC D055-2026</t>
  </si>
  <si>
    <t>900.907.185-2</t>
  </si>
  <si>
    <t xml:space="preserve">IMC DEPOSITO S.A.S.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</si>
</sst>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_-* #,##0_-;\-* #,##0_-;_-* &quot;-&quot;??_-;_-@_-"/>
    <numFmt numFmtId="166" formatCode="_-&quot;$&quot;* #,##0.00_-;\-&quot;$&quot;* #,##0.00_-;_-&quot;$&quot;* &quot;-&quot;??_-;_-@_-"/>
    <numFmt numFmtId="167" formatCode="_-&quot;$&quot;* #,##0_-;\-&quot;$&quot;* #,##0_-;_-&quot;$&quot;* &quot;-&quot;??_-;_-@_-"/>
    <numFmt numFmtId="168" formatCode="_-&quot;$&quot;\ * #,##0.00_-;\-&quot;$&quot;\ * #,##0.00_-;_-&quot;$&quot;\ * &quot;-&quot;??_-;_-@_-"/>
    <numFmt numFmtId="169" formatCode="[$-F800]dddd\,\ mmmm\ dd\,\ yyyy"/>
  </numFmts>
  <fonts count="3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lbertus Medium"/>
      <family val="2"/>
    </font>
    <font>
      <sz val="11"/>
      <color theme="1"/>
      <name val="Albertus Medium"/>
      <family val="2"/>
    </font>
    <font>
      <b/>
      <sz val="10"/>
      <color rgb="FF000000"/>
      <name val="Aptos Display"/>
      <family val="1"/>
      <scheme val="major"/>
    </font>
    <font>
      <i/>
      <sz val="8"/>
      <color rgb="FF000000"/>
      <name val="Aptos Display"/>
      <family val="1"/>
      <scheme val="major"/>
    </font>
    <font>
      <b/>
      <sz val="11"/>
      <color rgb="FF000000"/>
      <name val="Cambria"/>
      <family val="1"/>
    </font>
    <font>
      <b/>
      <sz val="16"/>
      <color rgb="FF000000"/>
      <name val="Magneto"/>
      <family val="5"/>
    </font>
    <font>
      <b/>
      <sz val="16"/>
      <color rgb="FF000000"/>
      <name val="Calibri Light"/>
      <family val="2"/>
    </font>
    <font>
      <sz val="11"/>
      <color theme="1"/>
      <name val="Jumble"/>
    </font>
    <font>
      <b/>
      <sz val="11"/>
      <color rgb="FF000000"/>
      <name val="Calibri Light"/>
      <family val="2"/>
    </font>
    <font>
      <b/>
      <i/>
      <sz val="9"/>
      <color rgb="FF000000"/>
      <name val="Calibri Light"/>
      <family val="2"/>
    </font>
    <font>
      <b/>
      <sz val="11"/>
      <color rgb="FF000000"/>
      <name val="Aptos Display"/>
      <family val="1"/>
      <scheme val="major"/>
    </font>
    <font>
      <sz val="11"/>
      <color rgb="FF000000"/>
      <name val="Aptos Display"/>
      <family val="1"/>
      <scheme val="major"/>
    </font>
    <font>
      <sz val="11"/>
      <color rgb="FF000000"/>
      <name val="Cambria"/>
      <family val="1"/>
    </font>
    <font>
      <sz val="10"/>
      <color rgb="FF000000"/>
      <name val="Calibri Light"/>
      <family val="2"/>
    </font>
    <font>
      <b/>
      <sz val="10"/>
      <color rgb="FF000000"/>
      <name val="Calibri Light"/>
      <family val="2"/>
    </font>
    <font>
      <sz val="11"/>
      <color rgb="FF000000"/>
      <name val="Calibri Light"/>
      <family val="2"/>
    </font>
    <font>
      <b/>
      <sz val="8"/>
      <color rgb="FF000000"/>
      <name val="Aptos Display"/>
      <family val="1"/>
      <scheme val="major"/>
    </font>
    <font>
      <b/>
      <sz val="11"/>
      <color theme="1"/>
      <name val="Aptos Display"/>
      <family val="1"/>
      <scheme val="major"/>
    </font>
    <font>
      <b/>
      <sz val="16"/>
      <color theme="0"/>
      <name val="Calibri Light"/>
      <family val="2"/>
    </font>
    <font>
      <sz val="11"/>
      <color theme="1"/>
      <name val="Calibri Light"/>
      <family val="2"/>
    </font>
    <font>
      <b/>
      <sz val="11"/>
      <color theme="1"/>
      <name val="Calibri Light"/>
      <family val="2"/>
    </font>
    <font>
      <sz val="11"/>
      <color theme="1"/>
      <name val="Aptos Display"/>
      <family val="2"/>
      <scheme val="major"/>
    </font>
    <font>
      <sz val="11"/>
      <color rgb="FF000000"/>
      <name val="Aptos Display"/>
      <family val="2"/>
      <scheme val="major"/>
    </font>
    <font>
      <sz val="10"/>
      <color theme="1"/>
      <name val="Arial"/>
      <family val="2"/>
    </font>
    <font>
      <b/>
      <sz val="11"/>
      <color rgb="FF000000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10"/>
      <color rgb="FF000000"/>
      <name val="Aptos Display"/>
      <family val="1"/>
      <scheme val="major"/>
    </font>
    <font>
      <b/>
      <sz val="10"/>
      <color rgb="FF000000"/>
      <name val="Aptos Display"/>
      <family val="2"/>
      <scheme val="major"/>
    </font>
    <font>
      <sz val="12"/>
      <color theme="1"/>
      <name val="Aptos Display"/>
      <family val="1"/>
      <scheme val="major"/>
    </font>
    <font>
      <b/>
      <sz val="16"/>
      <color rgb="FF00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7">
    <xf numFmtId="0" fontId="0" fillId="0" borderId="0"/>
    <xf numFmtId="0" fontId="2" fillId="0" borderId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8" fontId="1" fillId="0" borderId="0" applyFont="0" applyFill="0" applyBorder="0" applyAlignment="0" applyProtection="0"/>
  </cellStyleXfs>
  <cellXfs count="117">
    <xf numFmtId="0" fontId="0" fillId="0" borderId="0" xfId="0"/>
    <xf numFmtId="0" fontId="3" fillId="0" borderId="0" xfId="1" applyFont="1"/>
    <xf numFmtId="165" fontId="3" fillId="0" borderId="0" xfId="2" applyNumberFormat="1" applyFont="1"/>
    <xf numFmtId="0" fontId="3" fillId="2" borderId="0" xfId="1" applyFont="1" applyFill="1"/>
    <xf numFmtId="0" fontId="3" fillId="0" borderId="0" xfId="1" applyFont="1" applyAlignment="1">
      <alignment vertical="center"/>
    </xf>
    <xf numFmtId="0" fontId="4" fillId="0" borderId="0" xfId="0" applyFont="1"/>
    <xf numFmtId="0" fontId="4" fillId="2" borderId="0" xfId="0" applyFont="1" applyFill="1"/>
    <xf numFmtId="0" fontId="4" fillId="0" borderId="0" xfId="0" applyFont="1" applyAlignment="1">
      <alignment vertical="center"/>
    </xf>
    <xf numFmtId="0" fontId="8" fillId="0" borderId="10" xfId="1" applyFont="1" applyBorder="1" applyAlignment="1">
      <alignment horizontal="left" vertical="center"/>
    </xf>
    <xf numFmtId="0" fontId="9" fillId="0" borderId="4" xfId="1" applyFont="1" applyBorder="1" applyAlignment="1">
      <alignment horizontal="left" vertical="center"/>
    </xf>
    <xf numFmtId="0" fontId="9" fillId="0" borderId="0" xfId="1" applyFont="1" applyAlignment="1">
      <alignment horizontal="left" vertical="center"/>
    </xf>
    <xf numFmtId="0" fontId="9" fillId="0" borderId="10" xfId="1" applyFont="1" applyBorder="1" applyAlignment="1">
      <alignment horizontal="left" vertical="center"/>
    </xf>
    <xf numFmtId="0" fontId="9" fillId="0" borderId="11" xfId="1" applyFont="1" applyBorder="1" applyAlignment="1">
      <alignment horizontal="left" vertical="center"/>
    </xf>
    <xf numFmtId="0" fontId="10" fillId="0" borderId="12" xfId="0" applyFont="1" applyBorder="1" applyAlignment="1">
      <alignment vertical="center"/>
    </xf>
    <xf numFmtId="0" fontId="11" fillId="0" borderId="14" xfId="1" applyFont="1" applyBorder="1" applyAlignment="1">
      <alignment horizontal="left" vertical="center"/>
    </xf>
    <xf numFmtId="0" fontId="3" fillId="0" borderId="5" xfId="1" applyFont="1" applyBorder="1" applyAlignment="1">
      <alignment vertical="center"/>
    </xf>
    <xf numFmtId="0" fontId="14" fillId="0" borderId="4" xfId="1" applyFont="1" applyBorder="1" applyAlignment="1">
      <alignment vertical="center"/>
    </xf>
    <xf numFmtId="0" fontId="15" fillId="0" borderId="0" xfId="1" applyFont="1" applyAlignment="1">
      <alignment horizontal="center" vertical="center"/>
    </xf>
    <xf numFmtId="0" fontId="15" fillId="0" borderId="0" xfId="1" applyFont="1" applyAlignment="1">
      <alignment vertical="center"/>
    </xf>
    <xf numFmtId="0" fontId="15" fillId="0" borderId="5" xfId="1" applyFont="1" applyBorder="1" applyAlignment="1">
      <alignment vertical="center"/>
    </xf>
    <xf numFmtId="0" fontId="16" fillId="0" borderId="25" xfId="1" applyFont="1" applyBorder="1" applyAlignment="1">
      <alignment horizontal="center" vertical="center"/>
    </xf>
    <xf numFmtId="0" fontId="16" fillId="0" borderId="25" xfId="1" applyFont="1" applyBorder="1" applyAlignment="1">
      <alignment vertical="center"/>
    </xf>
    <xf numFmtId="0" fontId="17" fillId="3" borderId="25" xfId="1" applyFont="1" applyFill="1" applyBorder="1" applyAlignment="1">
      <alignment horizontal="center" vertical="center"/>
    </xf>
    <xf numFmtId="0" fontId="18" fillId="0" borderId="0" xfId="1" applyFont="1" applyAlignment="1">
      <alignment horizontal="center" vertical="center"/>
    </xf>
    <xf numFmtId="0" fontId="18" fillId="0" borderId="0" xfId="1" applyFont="1" applyAlignment="1">
      <alignment vertical="center"/>
    </xf>
    <xf numFmtId="0" fontId="18" fillId="0" borderId="5" xfId="1" applyFont="1" applyBorder="1" applyAlignment="1">
      <alignment vertical="center"/>
    </xf>
    <xf numFmtId="0" fontId="14" fillId="0" borderId="27" xfId="1" applyFont="1" applyBorder="1" applyAlignment="1">
      <alignment vertical="center"/>
    </xf>
    <xf numFmtId="0" fontId="14" fillId="0" borderId="28" xfId="1" applyFont="1" applyBorder="1" applyAlignment="1">
      <alignment vertical="center"/>
    </xf>
    <xf numFmtId="0" fontId="19" fillId="0" borderId="29" xfId="1" applyFont="1" applyBorder="1" applyAlignment="1">
      <alignment vertical="center"/>
    </xf>
    <xf numFmtId="167" fontId="20" fillId="0" borderId="30" xfId="4" applyNumberFormat="1" applyFont="1" applyBorder="1" applyAlignment="1">
      <alignment horizontal="right" vertical="center"/>
    </xf>
    <xf numFmtId="167" fontId="20" fillId="0" borderId="33" xfId="4" applyNumberFormat="1" applyFont="1" applyBorder="1" applyAlignment="1">
      <alignment horizontal="right" vertical="center"/>
    </xf>
    <xf numFmtId="16" fontId="3" fillId="0" borderId="0" xfId="1" applyNumberFormat="1" applyFont="1"/>
    <xf numFmtId="167" fontId="21" fillId="2" borderId="34" xfId="5" applyNumberFormat="1" applyFont="1" applyFill="1" applyBorder="1" applyAlignment="1">
      <alignment horizontal="center" vertical="center"/>
    </xf>
    <xf numFmtId="167" fontId="21" fillId="2" borderId="35" xfId="5" applyNumberFormat="1" applyFont="1" applyFill="1" applyBorder="1" applyAlignment="1">
      <alignment horizontal="right" vertical="center"/>
    </xf>
    <xf numFmtId="0" fontId="21" fillId="2" borderId="35" xfId="0" applyFont="1" applyFill="1" applyBorder="1" applyAlignment="1">
      <alignment horizontal="left" vertical="center"/>
    </xf>
    <xf numFmtId="0" fontId="3" fillId="0" borderId="0" xfId="1" applyFont="1" applyAlignment="1">
      <alignment wrapText="1"/>
    </xf>
    <xf numFmtId="167" fontId="24" fillId="0" borderId="25" xfId="4" applyNumberFormat="1" applyFont="1" applyFill="1" applyBorder="1" applyAlignment="1">
      <alignment vertical="center"/>
    </xf>
    <xf numFmtId="168" fontId="25" fillId="4" borderId="25" xfId="6" applyFont="1" applyFill="1" applyBorder="1" applyAlignment="1">
      <alignment horizontal="center" vertical="center" wrapText="1"/>
    </xf>
    <xf numFmtId="0" fontId="26" fillId="0" borderId="25" xfId="0" applyFont="1" applyBorder="1" applyAlignment="1">
      <alignment horizontal="left" vertical="center" wrapText="1"/>
    </xf>
    <xf numFmtId="0" fontId="27" fillId="4" borderId="25" xfId="1" applyFont="1" applyFill="1" applyBorder="1" applyAlignment="1">
      <alignment horizontal="center" vertical="center"/>
    </xf>
    <xf numFmtId="0" fontId="27" fillId="3" borderId="42" xfId="1" applyFont="1" applyFill="1" applyBorder="1" applyAlignment="1">
      <alignment horizontal="center" vertical="center" wrapText="1"/>
    </xf>
    <xf numFmtId="0" fontId="27" fillId="3" borderId="17" xfId="1" applyFont="1" applyFill="1" applyBorder="1" applyAlignment="1">
      <alignment horizontal="center" vertical="center" wrapText="1"/>
    </xf>
    <xf numFmtId="0" fontId="27" fillId="3" borderId="17" xfId="1" applyFont="1" applyFill="1" applyBorder="1" applyAlignment="1">
      <alignment horizontal="center" vertical="center"/>
    </xf>
    <xf numFmtId="0" fontId="27" fillId="3" borderId="18" xfId="1" applyFont="1" applyFill="1" applyBorder="1" applyAlignment="1">
      <alignment horizontal="center" vertical="center"/>
    </xf>
    <xf numFmtId="0" fontId="26" fillId="0" borderId="25" xfId="0" applyFont="1" applyBorder="1" applyAlignment="1">
      <alignment horizontal="center" vertical="center" wrapText="1"/>
    </xf>
    <xf numFmtId="169" fontId="28" fillId="0" borderId="25" xfId="1" applyNumberFormat="1" applyFont="1" applyBorder="1" applyAlignment="1">
      <alignment horizontal="center" vertical="center" wrapText="1"/>
    </xf>
    <xf numFmtId="0" fontId="30" fillId="0" borderId="25" xfId="1" applyFont="1" applyBorder="1" applyAlignment="1">
      <alignment vertical="center" wrapText="1"/>
    </xf>
    <xf numFmtId="0" fontId="30" fillId="0" borderId="25" xfId="1" applyFont="1" applyBorder="1" applyAlignment="1">
      <alignment vertical="center"/>
    </xf>
    <xf numFmtId="0" fontId="30" fillId="0" borderId="25" xfId="1" applyFont="1" applyBorder="1" applyAlignment="1">
      <alignment horizontal="center" vertical="center" wrapText="1"/>
    </xf>
    <xf numFmtId="0" fontId="30" fillId="0" borderId="25" xfId="1" applyFont="1" applyBorder="1" applyAlignment="1">
      <alignment horizontal="left" vertical="center" wrapText="1"/>
    </xf>
    <xf numFmtId="0" fontId="8" fillId="0" borderId="5" xfId="1" applyFont="1" applyBorder="1" applyAlignment="1">
      <alignment horizontal="left" vertical="center"/>
    </xf>
    <xf numFmtId="0" fontId="8" fillId="0" borderId="0" xfId="1" applyFont="1" applyAlignment="1">
      <alignment horizontal="left" vertical="center"/>
    </xf>
    <xf numFmtId="0" fontId="8" fillId="0" borderId="11" xfId="1" applyFont="1" applyBorder="1" applyAlignment="1">
      <alignment horizontal="left" vertical="center"/>
    </xf>
    <xf numFmtId="0" fontId="8" fillId="0" borderId="9" xfId="1" applyFont="1" applyBorder="1" applyAlignment="1">
      <alignment horizontal="left" vertical="center"/>
    </xf>
    <xf numFmtId="0" fontId="8" fillId="0" borderId="4" xfId="1" applyFont="1" applyBorder="1" applyAlignment="1">
      <alignment horizontal="left" vertical="center"/>
    </xf>
    <xf numFmtId="0" fontId="7" fillId="0" borderId="8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7" fillId="0" borderId="6" xfId="1" applyFont="1" applyBorder="1" applyAlignment="1">
      <alignment horizontal="center" vertical="center"/>
    </xf>
    <xf numFmtId="0" fontId="6" fillId="0" borderId="5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5" fillId="0" borderId="1" xfId="1" applyFont="1" applyBorder="1" applyAlignment="1">
      <alignment horizontal="center" vertical="center" wrapText="1"/>
    </xf>
    <xf numFmtId="0" fontId="11" fillId="0" borderId="13" xfId="1" applyFont="1" applyBorder="1" applyAlignment="1">
      <alignment horizontal="left" vertical="center"/>
    </xf>
    <xf numFmtId="0" fontId="11" fillId="0" borderId="6" xfId="1" applyFont="1" applyBorder="1" applyAlignment="1">
      <alignment horizontal="left" vertical="center"/>
    </xf>
    <xf numFmtId="0" fontId="17" fillId="3" borderId="26" xfId="1" applyFont="1" applyFill="1" applyBorder="1" applyAlignment="1">
      <alignment horizontal="left" vertical="center" wrapText="1"/>
    </xf>
    <xf numFmtId="0" fontId="17" fillId="3" borderId="25" xfId="1" applyFont="1" applyFill="1" applyBorder="1" applyAlignment="1">
      <alignment horizontal="left" vertical="center" wrapText="1"/>
    </xf>
    <xf numFmtId="0" fontId="16" fillId="0" borderId="25" xfId="1" applyFont="1" applyBorder="1" applyAlignment="1">
      <alignment horizontal="left" vertical="center"/>
    </xf>
    <xf numFmtId="165" fontId="13" fillId="3" borderId="24" xfId="2" applyNumberFormat="1" applyFont="1" applyFill="1" applyBorder="1" applyAlignment="1">
      <alignment horizontal="center" vertical="center"/>
    </xf>
    <xf numFmtId="165" fontId="13" fillId="3" borderId="23" xfId="2" applyNumberFormat="1" applyFont="1" applyFill="1" applyBorder="1" applyAlignment="1">
      <alignment horizontal="center" vertical="center"/>
    </xf>
    <xf numFmtId="165" fontId="13" fillId="3" borderId="22" xfId="2" applyNumberFormat="1" applyFont="1" applyFill="1" applyBorder="1" applyAlignment="1">
      <alignment horizontal="center" vertical="center"/>
    </xf>
    <xf numFmtId="0" fontId="17" fillId="3" borderId="26" xfId="1" applyFont="1" applyFill="1" applyBorder="1" applyAlignment="1">
      <alignment horizontal="center" vertical="center"/>
    </xf>
    <xf numFmtId="0" fontId="17" fillId="3" borderId="25" xfId="1" applyFont="1" applyFill="1" applyBorder="1" applyAlignment="1">
      <alignment horizontal="center" vertical="center"/>
    </xf>
    <xf numFmtId="0" fontId="11" fillId="0" borderId="8" xfId="1" applyFont="1" applyBorder="1" applyAlignment="1">
      <alignment horizontal="left" vertical="center"/>
    </xf>
    <xf numFmtId="0" fontId="11" fillId="0" borderId="7" xfId="1" applyFont="1" applyBorder="1" applyAlignment="1">
      <alignment horizontal="left" vertical="center"/>
    </xf>
    <xf numFmtId="0" fontId="11" fillId="0" borderId="15" xfId="1" applyFont="1" applyBorder="1" applyAlignment="1">
      <alignment horizontal="left" vertical="center"/>
    </xf>
    <xf numFmtId="0" fontId="12" fillId="0" borderId="21" xfId="1" applyFont="1" applyBorder="1" applyAlignment="1">
      <alignment horizontal="left" vertical="center" wrapText="1"/>
    </xf>
    <xf numFmtId="0" fontId="12" fillId="0" borderId="20" xfId="1" applyFont="1" applyBorder="1" applyAlignment="1">
      <alignment horizontal="left" vertical="center"/>
    </xf>
    <xf numFmtId="0" fontId="12" fillId="0" borderId="19" xfId="1" applyFont="1" applyBorder="1" applyAlignment="1">
      <alignment horizontal="left" vertical="center"/>
    </xf>
    <xf numFmtId="0" fontId="12" fillId="0" borderId="5" xfId="1" applyFont="1" applyBorder="1" applyAlignment="1">
      <alignment horizontal="left" vertical="center"/>
    </xf>
    <xf numFmtId="0" fontId="12" fillId="0" borderId="0" xfId="1" applyFont="1" applyAlignment="1">
      <alignment horizontal="left" vertical="center"/>
    </xf>
    <xf numFmtId="0" fontId="12" fillId="0" borderId="4" xfId="1" applyFont="1" applyBorder="1" applyAlignment="1">
      <alignment horizontal="left" vertical="center"/>
    </xf>
    <xf numFmtId="0" fontId="12" fillId="0" borderId="3" xfId="1" applyFont="1" applyBorder="1" applyAlignment="1">
      <alignment horizontal="left" vertical="center"/>
    </xf>
    <xf numFmtId="0" fontId="12" fillId="0" borderId="2" xfId="1" applyFont="1" applyBorder="1" applyAlignment="1">
      <alignment horizontal="left" vertical="center"/>
    </xf>
    <xf numFmtId="0" fontId="12" fillId="0" borderId="1" xfId="1" applyFont="1" applyBorder="1" applyAlignment="1">
      <alignment horizontal="left" vertical="center"/>
    </xf>
    <xf numFmtId="165" fontId="11" fillId="3" borderId="18" xfId="3" applyNumberFormat="1" applyFont="1" applyFill="1" applyBorder="1" applyAlignment="1">
      <alignment horizontal="center" vertical="center"/>
    </xf>
    <xf numFmtId="165" fontId="11" fillId="3" borderId="17" xfId="3" applyNumberFormat="1" applyFont="1" applyFill="1" applyBorder="1" applyAlignment="1">
      <alignment horizontal="center" vertical="center"/>
    </xf>
    <xf numFmtId="165" fontId="11" fillId="3" borderId="16" xfId="3" applyNumberFormat="1" applyFont="1" applyFill="1" applyBorder="1" applyAlignment="1">
      <alignment horizontal="center" vertical="center"/>
    </xf>
    <xf numFmtId="0" fontId="23" fillId="0" borderId="41" xfId="0" applyFont="1" applyBorder="1" applyAlignment="1">
      <alignment horizontal="center"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0" borderId="40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left" vertical="center" wrapText="1"/>
    </xf>
    <xf numFmtId="0" fontId="22" fillId="0" borderId="38" xfId="0" applyFont="1" applyBorder="1" applyAlignment="1">
      <alignment horizontal="left" vertical="center" wrapText="1"/>
    </xf>
    <xf numFmtId="0" fontId="22" fillId="0" borderId="37" xfId="0" applyFont="1" applyBorder="1" applyAlignment="1">
      <alignment horizontal="left" vertical="center" wrapText="1"/>
    </xf>
    <xf numFmtId="165" fontId="13" fillId="3" borderId="26" xfId="2" applyNumberFormat="1" applyFont="1" applyFill="1" applyBorder="1" applyAlignment="1">
      <alignment horizontal="center" vertical="center"/>
    </xf>
    <xf numFmtId="165" fontId="13" fillId="3" borderId="25" xfId="2" applyNumberFormat="1" applyFont="1" applyFill="1" applyBorder="1" applyAlignment="1">
      <alignment horizontal="center" vertical="center"/>
    </xf>
    <xf numFmtId="165" fontId="13" fillId="3" borderId="32" xfId="2" applyNumberFormat="1" applyFont="1" applyFill="1" applyBorder="1" applyAlignment="1">
      <alignment horizontal="center" vertical="center"/>
    </xf>
    <xf numFmtId="165" fontId="13" fillId="3" borderId="31" xfId="2" applyNumberFormat="1" applyFont="1" applyFill="1" applyBorder="1" applyAlignment="1">
      <alignment horizontal="center" vertical="center"/>
    </xf>
    <xf numFmtId="0" fontId="21" fillId="2" borderId="36" xfId="1" applyFont="1" applyFill="1" applyBorder="1" applyAlignment="1">
      <alignment horizontal="left" vertical="center"/>
    </xf>
    <xf numFmtId="0" fontId="21" fillId="2" borderId="35" xfId="1" applyFont="1" applyFill="1" applyBorder="1" applyAlignment="1">
      <alignment horizontal="left" vertical="center"/>
    </xf>
    <xf numFmtId="0" fontId="31" fillId="0" borderId="18" xfId="0" applyFont="1" applyBorder="1" applyAlignment="1">
      <alignment horizontal="center" vertical="center"/>
    </xf>
    <xf numFmtId="0" fontId="31" fillId="0" borderId="17" xfId="0" applyFont="1" applyBorder="1" applyAlignment="1">
      <alignment horizontal="center" vertical="center"/>
    </xf>
    <xf numFmtId="0" fontId="31" fillId="0" borderId="26" xfId="0" applyFont="1" applyBorder="1" applyAlignment="1">
      <alignment horizontal="center" vertical="center"/>
    </xf>
    <xf numFmtId="0" fontId="31" fillId="0" borderId="25" xfId="0" applyFont="1" applyBorder="1" applyAlignment="1">
      <alignment horizontal="center" vertical="center"/>
    </xf>
    <xf numFmtId="0" fontId="32" fillId="0" borderId="17" xfId="1" applyFont="1" applyBorder="1" applyAlignment="1">
      <alignment horizontal="center" vertical="center" wrapText="1"/>
    </xf>
    <xf numFmtId="0" fontId="32" fillId="0" borderId="16" xfId="1" applyFont="1" applyBorder="1" applyAlignment="1">
      <alignment horizontal="center" vertical="center" wrapText="1"/>
    </xf>
    <xf numFmtId="0" fontId="30" fillId="0" borderId="25" xfId="1" applyFont="1" applyBorder="1" applyAlignment="1">
      <alignment horizontal="center" vertical="center" wrapText="1"/>
    </xf>
    <xf numFmtId="0" fontId="30" fillId="0" borderId="33" xfId="1" applyFont="1" applyBorder="1" applyAlignment="1">
      <alignment horizontal="center" vertical="center" wrapText="1"/>
    </xf>
    <xf numFmtId="169" fontId="28" fillId="0" borderId="25" xfId="1" applyNumberFormat="1" applyFont="1" applyBorder="1" applyAlignment="1">
      <alignment horizontal="left" vertical="center" wrapText="1"/>
    </xf>
    <xf numFmtId="169" fontId="28" fillId="0" borderId="33" xfId="1" applyNumberFormat="1" applyFont="1" applyBorder="1" applyAlignment="1">
      <alignment horizontal="left" vertical="center" wrapText="1"/>
    </xf>
    <xf numFmtId="0" fontId="5" fillId="0" borderId="26" xfId="1" applyFont="1" applyBorder="1" applyAlignment="1">
      <alignment horizontal="left" vertical="center" wrapText="1"/>
    </xf>
    <xf numFmtId="0" fontId="5" fillId="0" borderId="25" xfId="1" applyFont="1" applyBorder="1" applyAlignment="1">
      <alignment horizontal="left" vertical="center" wrapText="1"/>
    </xf>
    <xf numFmtId="0" fontId="29" fillId="0" borderId="25" xfId="1" applyFont="1" applyBorder="1" applyAlignment="1">
      <alignment horizontal="left" vertical="center" wrapText="1"/>
    </xf>
    <xf numFmtId="0" fontId="29" fillId="0" borderId="33" xfId="1" applyFont="1" applyBorder="1" applyAlignment="1">
      <alignment horizontal="left" vertical="center" wrapText="1"/>
    </xf>
    <xf numFmtId="0" fontId="17" fillId="0" borderId="32" xfId="1" applyFont="1" applyBorder="1" applyAlignment="1">
      <alignment horizontal="left" vertical="center"/>
    </xf>
    <xf numFmtId="0" fontId="17" fillId="0" borderId="31" xfId="1" applyFont="1" applyBorder="1" applyAlignment="1">
      <alignment horizontal="left" vertical="center"/>
    </xf>
  </cellXfs>
  <cellStyles count="7">
    <cellStyle name="Excel Built-in Normal" xfId="1" xr:uid="{48C00633-D33E-4289-AF98-04E7A72CDDC8}"/>
    <cellStyle name="Millares 2 2" xfId="2" xr:uid="{CDDCF8A9-278C-4581-9302-98CAE6B59482}"/>
    <cellStyle name="Millares 3 2" xfId="3" xr:uid="{3CEF9EFC-D247-4B14-A3C0-76122399C660}"/>
    <cellStyle name="Moneda 2" xfId="6" xr:uid="{EFB6D552-D40B-46AF-B739-01EAD0134D9E}"/>
    <cellStyle name="Moneda 2 2 5" xfId="4" xr:uid="{AF7FC076-C6AF-4674-AF78-9BB6AED15063}"/>
    <cellStyle name="Moneda 3 2" xfId="5" xr:uid="{37E1EC95-2A6E-4372-B61C-4ADF74A9E15C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sv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96</xdr:row>
      <xdr:rowOff>28576</xdr:rowOff>
    </xdr:from>
    <xdr:ext cx="0" cy="163166"/>
    <xdr:pic>
      <xdr:nvPicPr>
        <xdr:cNvPr id="2" name="Imagen 1">
          <a:extLst>
            <a:ext uri="{FF2B5EF4-FFF2-40B4-BE49-F238E27FC236}">
              <a16:creationId xmlns:a16="http://schemas.microsoft.com/office/drawing/2014/main" id="{D0406A51-85DF-44C3-97ED-F1CE207AD98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grayscl/>
        </a:blip>
        <a:srcRect l="18595" t="20967" r="60944"/>
        <a:stretch/>
      </xdr:blipFill>
      <xdr:spPr>
        <a:xfrm rot="16200000">
          <a:off x="-81583" y="17236109"/>
          <a:ext cx="163166" cy="0"/>
        </a:xfrm>
        <a:prstGeom prst="rect">
          <a:avLst/>
        </a:prstGeom>
        <a:ln>
          <a:noFill/>
        </a:ln>
        <a:effectLst>
          <a:softEdge rad="112500"/>
        </a:effectLst>
      </xdr:spPr>
    </xdr:pic>
    <xdr:clientData/>
  </xdr:oneCellAnchor>
  <xdr:oneCellAnchor>
    <xdr:from>
      <xdr:col>2</xdr:col>
      <xdr:colOff>112058</xdr:colOff>
      <xdr:row>34</xdr:row>
      <xdr:rowOff>46504</xdr:rowOff>
    </xdr:from>
    <xdr:ext cx="0" cy="602689"/>
    <xdr:pic>
      <xdr:nvPicPr>
        <xdr:cNvPr id="3" name="Gráfico 2" descr="Advertencia con relleno sólido">
          <a:extLst>
            <a:ext uri="{FF2B5EF4-FFF2-40B4-BE49-F238E27FC236}">
              <a16:creationId xmlns:a16="http://schemas.microsoft.com/office/drawing/2014/main" id="{3F302B38-521F-4DB1-9A55-6831DD1B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31158" y="5755154"/>
          <a:ext cx="0" cy="602689"/>
        </a:xfrm>
        <a:prstGeom prst="rect">
          <a:avLst/>
        </a:prstGeom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B5DA2-12C2-4D26-8CEB-4113728014FE}">
  <dimension ref="A1:IV48"/>
  <sheetViews>
    <sheetView tabSelected="1" topLeftCell="B6" workbookViewId="0">
      <selection activeCell="C12" sqref="C12:H14"/>
    </sheetView>
  </sheetViews>
  <sheetFormatPr baseColWidth="10" defaultColWidth="0" defaultRowHeight="13.5" customHeight="1"/>
  <cols>
    <col min="1" max="2" width="3" style="1" customWidth="1"/>
    <col min="3" max="3" width="10.85546875" style="1" customWidth="1"/>
    <col min="4" max="4" width="10.140625" style="1" bestFit="1" customWidth="1"/>
    <col min="5" max="5" width="19" style="1" customWidth="1"/>
    <col min="6" max="6" width="47.42578125" style="1" customWidth="1"/>
    <col min="7" max="8" width="16.85546875" style="1" customWidth="1"/>
    <col min="9" max="10" width="3" style="1" customWidth="1"/>
    <col min="11" max="256" width="0" style="1" hidden="1" customWidth="1"/>
    <col min="257" max="16384" width="10.7109375" style="1" hidden="1"/>
  </cols>
  <sheetData>
    <row r="1" spans="1:11" ht="14.25">
      <c r="A1" s="3"/>
      <c r="B1" s="3"/>
      <c r="C1" s="3"/>
      <c r="D1" s="3"/>
      <c r="E1" s="3"/>
      <c r="F1" s="3"/>
      <c r="G1" s="3"/>
      <c r="H1" s="3"/>
      <c r="I1" s="3"/>
      <c r="J1" s="3"/>
    </row>
    <row r="2" spans="1:11" ht="15" thickBot="1">
      <c r="A2" s="3"/>
      <c r="B2" s="4"/>
      <c r="C2" s="4"/>
      <c r="D2" s="4"/>
      <c r="E2" s="4"/>
      <c r="F2" s="4"/>
      <c r="G2" s="4"/>
      <c r="H2" s="4"/>
      <c r="I2" s="4"/>
      <c r="J2" s="3"/>
    </row>
    <row r="3" spans="1:11" ht="21">
      <c r="A3" s="3"/>
      <c r="B3" s="4"/>
      <c r="C3" s="101" t="e" vm="1">
        <v>#VALUE!</v>
      </c>
      <c r="D3" s="102"/>
      <c r="E3" s="105" t="s">
        <v>53</v>
      </c>
      <c r="F3" s="105"/>
      <c r="G3" s="105"/>
      <c r="H3" s="106"/>
      <c r="I3" s="4"/>
      <c r="J3" s="3"/>
    </row>
    <row r="4" spans="1:11" ht="18.399999999999999" customHeight="1">
      <c r="A4" s="3"/>
      <c r="B4" s="4"/>
      <c r="C4" s="103"/>
      <c r="D4" s="104"/>
      <c r="E4" s="49" t="s">
        <v>47</v>
      </c>
      <c r="F4" s="48" t="s">
        <v>52</v>
      </c>
      <c r="G4" s="107" t="s">
        <v>51</v>
      </c>
      <c r="H4" s="108"/>
      <c r="I4" s="4"/>
      <c r="J4" s="3"/>
    </row>
    <row r="5" spans="1:11" ht="18.399999999999999" customHeight="1">
      <c r="A5" s="3"/>
      <c r="B5" s="4"/>
      <c r="C5" s="103"/>
      <c r="D5" s="104"/>
      <c r="E5" s="47" t="s">
        <v>50</v>
      </c>
      <c r="F5" s="109">
        <v>46084</v>
      </c>
      <c r="G5" s="109"/>
      <c r="H5" s="110"/>
      <c r="I5" s="4"/>
      <c r="J5" s="3"/>
    </row>
    <row r="6" spans="1:11" ht="18.399999999999999" customHeight="1">
      <c r="A6" s="3"/>
      <c r="B6" s="4"/>
      <c r="C6" s="103"/>
      <c r="D6" s="104"/>
      <c r="E6" s="46" t="s">
        <v>49</v>
      </c>
      <c r="F6" s="109" t="s">
        <v>48</v>
      </c>
      <c r="G6" s="109"/>
      <c r="H6" s="110"/>
      <c r="I6" s="4"/>
      <c r="J6" s="3"/>
    </row>
    <row r="7" spans="1:11" ht="18.399999999999999" customHeight="1">
      <c r="A7" s="3"/>
      <c r="B7" s="4"/>
      <c r="C7" s="103"/>
      <c r="D7" s="104"/>
      <c r="E7" s="46" t="s">
        <v>47</v>
      </c>
      <c r="F7" s="109" t="s">
        <v>46</v>
      </c>
      <c r="G7" s="109"/>
      <c r="H7" s="110"/>
      <c r="I7" s="4"/>
      <c r="J7" s="3"/>
    </row>
    <row r="8" spans="1:11" ht="18.399999999999999" customHeight="1">
      <c r="A8" s="3"/>
      <c r="B8" s="4"/>
      <c r="C8" s="111" t="s">
        <v>45</v>
      </c>
      <c r="D8" s="112"/>
      <c r="E8" s="112"/>
      <c r="F8" s="113" t="s">
        <v>44</v>
      </c>
      <c r="G8" s="113"/>
      <c r="H8" s="114"/>
      <c r="I8" s="4"/>
      <c r="J8" s="3"/>
    </row>
    <row r="9" spans="1:11" ht="44.1" customHeight="1" thickBot="1">
      <c r="A9" s="3"/>
      <c r="B9" s="4"/>
      <c r="C9" s="115" t="s">
        <v>43</v>
      </c>
      <c r="D9" s="116"/>
      <c r="E9" s="116"/>
      <c r="F9" s="45" t="s">
        <v>42</v>
      </c>
      <c r="G9" s="45" t="s">
        <v>41</v>
      </c>
      <c r="H9" s="44">
        <v>279901</v>
      </c>
      <c r="I9" s="4"/>
      <c r="J9" s="3"/>
    </row>
    <row r="10" spans="1:11" ht="30">
      <c r="A10" s="3"/>
      <c r="B10" s="4"/>
      <c r="C10" s="43" t="s">
        <v>40</v>
      </c>
      <c r="D10" s="42" t="s">
        <v>39</v>
      </c>
      <c r="E10" s="42" t="s">
        <v>38</v>
      </c>
      <c r="F10" s="41" t="s">
        <v>37</v>
      </c>
      <c r="G10" s="41" t="s">
        <v>36</v>
      </c>
      <c r="H10" s="40" t="s">
        <v>28</v>
      </c>
      <c r="I10" s="4"/>
      <c r="J10" s="3"/>
      <c r="K10" s="35"/>
    </row>
    <row r="11" spans="1:11" ht="15">
      <c r="A11" s="3"/>
      <c r="B11" s="4"/>
      <c r="C11" s="39">
        <v>1</v>
      </c>
      <c r="D11" s="39">
        <v>1</v>
      </c>
      <c r="E11" s="39"/>
      <c r="F11" s="38" t="s">
        <v>35</v>
      </c>
      <c r="G11" s="37">
        <v>60720.19</v>
      </c>
      <c r="H11" s="36">
        <f>+G11*D11</f>
        <v>60720.19</v>
      </c>
      <c r="I11" s="4"/>
      <c r="J11" s="3"/>
      <c r="K11" s="35"/>
    </row>
    <row r="12" spans="1:11" ht="15">
      <c r="A12" s="3"/>
      <c r="B12" s="4"/>
      <c r="C12" s="39"/>
      <c r="D12" s="39"/>
      <c r="E12" s="39"/>
      <c r="F12" s="38"/>
      <c r="G12" s="37"/>
      <c r="H12" s="36"/>
      <c r="I12" s="4"/>
      <c r="J12" s="3"/>
      <c r="K12" s="35"/>
    </row>
    <row r="13" spans="1:11" ht="15">
      <c r="A13" s="3"/>
      <c r="B13" s="4"/>
      <c r="C13" s="39"/>
      <c r="D13" s="39"/>
      <c r="E13" s="39"/>
      <c r="F13" s="38"/>
      <c r="G13" s="37"/>
      <c r="H13" s="36"/>
      <c r="I13" s="4"/>
      <c r="J13" s="3"/>
      <c r="K13" s="35"/>
    </row>
    <row r="14" spans="1:11" ht="15">
      <c r="A14" s="3"/>
      <c r="B14" s="4"/>
      <c r="C14" s="39"/>
      <c r="D14" s="39"/>
      <c r="E14" s="39"/>
      <c r="F14" s="38"/>
      <c r="G14" s="37"/>
      <c r="H14" s="36"/>
      <c r="I14" s="4"/>
      <c r="J14" s="3"/>
      <c r="K14" s="35"/>
    </row>
    <row r="15" spans="1:11" ht="21" customHeight="1">
      <c r="A15" s="3"/>
      <c r="B15" s="4"/>
      <c r="C15" s="89" t="s">
        <v>34</v>
      </c>
      <c r="D15" s="90"/>
      <c r="E15" s="90"/>
      <c r="F15" s="90"/>
      <c r="G15" s="90"/>
      <c r="H15" s="91"/>
      <c r="I15" s="4"/>
      <c r="J15" s="3"/>
      <c r="K15" s="31"/>
    </row>
    <row r="16" spans="1:11" ht="59.25" customHeight="1" thickBot="1">
      <c r="A16" s="3"/>
      <c r="B16" s="4"/>
      <c r="C16" s="92" t="s">
        <v>33</v>
      </c>
      <c r="D16" s="93"/>
      <c r="E16" s="93"/>
      <c r="F16" s="93"/>
      <c r="G16" s="93"/>
      <c r="H16" s="94"/>
      <c r="I16" s="4"/>
      <c r="J16" s="3"/>
      <c r="K16" s="31"/>
    </row>
    <row r="17" spans="1:256" ht="21">
      <c r="A17" s="3"/>
      <c r="B17" s="4"/>
      <c r="C17" s="99" t="s">
        <v>32</v>
      </c>
      <c r="D17" s="100"/>
      <c r="E17" s="100"/>
      <c r="F17" s="34" t="s">
        <v>31</v>
      </c>
      <c r="G17" s="33"/>
      <c r="H17" s="32"/>
      <c r="I17" s="4"/>
      <c r="J17" s="3"/>
      <c r="K17" s="31"/>
    </row>
    <row r="18" spans="1:256" s="5" customFormat="1" ht="15">
      <c r="A18" s="6"/>
      <c r="B18" s="7"/>
      <c r="C18" s="95" t="s">
        <v>30</v>
      </c>
      <c r="D18" s="96"/>
      <c r="E18" s="96"/>
      <c r="F18" s="96"/>
      <c r="G18" s="96"/>
      <c r="H18" s="30">
        <f>SUM(H11:H11)</f>
        <v>60720.19</v>
      </c>
      <c r="I18" s="4"/>
      <c r="J18" s="6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  <c r="FK18" s="1"/>
      <c r="FL18" s="1"/>
      <c r="FM18" s="1"/>
      <c r="FN18" s="1"/>
      <c r="FO18" s="1"/>
      <c r="FP18" s="1"/>
      <c r="FQ18" s="1"/>
      <c r="FR18" s="1"/>
      <c r="FS18" s="1"/>
      <c r="FT18" s="1"/>
      <c r="FU18" s="1"/>
      <c r="FV18" s="1"/>
      <c r="FW18" s="1"/>
      <c r="FX18" s="1"/>
      <c r="FY18" s="1"/>
      <c r="FZ18" s="1"/>
      <c r="GA18" s="1"/>
      <c r="GB18" s="1"/>
      <c r="GC18" s="1"/>
      <c r="GD18" s="1"/>
      <c r="GE18" s="1"/>
      <c r="GF18" s="1"/>
      <c r="GG18" s="1"/>
      <c r="GH18" s="1"/>
      <c r="GI18" s="1"/>
      <c r="GJ18" s="1"/>
      <c r="GK18" s="1"/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/>
      <c r="HA18" s="1"/>
      <c r="HB18" s="1"/>
      <c r="HC18" s="1"/>
      <c r="HD18" s="1"/>
      <c r="HE18" s="1"/>
      <c r="HF18" s="1"/>
      <c r="HG18" s="1"/>
      <c r="HH18" s="1"/>
      <c r="HI18" s="1"/>
      <c r="HJ18" s="1"/>
      <c r="HK18" s="1"/>
      <c r="HL18" s="1"/>
      <c r="HM18" s="1"/>
      <c r="HN18" s="1"/>
      <c r="HO18" s="1"/>
      <c r="HP18" s="1"/>
      <c r="HQ18" s="1"/>
      <c r="HR18" s="1"/>
      <c r="HS18" s="1"/>
      <c r="HT18" s="1"/>
      <c r="HU18" s="1"/>
      <c r="HV18" s="1"/>
      <c r="HW18" s="1"/>
      <c r="HX18" s="1"/>
      <c r="HY18" s="1"/>
      <c r="HZ18" s="1"/>
      <c r="IA18" s="1"/>
      <c r="IB18" s="1"/>
      <c r="IC18" s="1"/>
      <c r="ID18" s="1"/>
      <c r="IE18" s="1"/>
      <c r="IF18" s="1"/>
      <c r="IG18" s="1"/>
      <c r="IH18" s="1"/>
      <c r="II18" s="1"/>
      <c r="IJ18" s="1"/>
      <c r="IK18" s="1"/>
      <c r="IL18" s="1"/>
      <c r="IM18" s="1"/>
      <c r="IN18" s="1"/>
      <c r="IO18" s="1"/>
      <c r="IP18" s="1"/>
      <c r="IQ18" s="1"/>
      <c r="IR18" s="1"/>
      <c r="IS18" s="1"/>
      <c r="IT18" s="1"/>
      <c r="IU18" s="1"/>
      <c r="IV18" s="1"/>
    </row>
    <row r="19" spans="1:256" s="5" customFormat="1" ht="15">
      <c r="A19" s="6"/>
      <c r="B19" s="7"/>
      <c r="C19" s="95" t="s">
        <v>29</v>
      </c>
      <c r="D19" s="96"/>
      <c r="E19" s="96"/>
      <c r="F19" s="96"/>
      <c r="G19" s="96"/>
      <c r="H19" s="30"/>
      <c r="I19" s="4"/>
      <c r="J19" s="6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  <c r="FK19" s="1"/>
      <c r="FL19" s="1"/>
      <c r="FM19" s="1"/>
      <c r="FN19" s="1"/>
      <c r="FO19" s="1"/>
      <c r="FP19" s="1"/>
      <c r="FQ19" s="1"/>
      <c r="FR19" s="1"/>
      <c r="FS19" s="1"/>
      <c r="FT19" s="1"/>
      <c r="FU19" s="1"/>
      <c r="FV19" s="1"/>
      <c r="FW19" s="1"/>
      <c r="FX19" s="1"/>
      <c r="FY19" s="1"/>
      <c r="FZ19" s="1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/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  <c r="HL19" s="1"/>
      <c r="HM19" s="1"/>
      <c r="HN19" s="1"/>
      <c r="HO19" s="1"/>
      <c r="HP19" s="1"/>
      <c r="HQ19" s="1"/>
      <c r="HR19" s="1"/>
      <c r="HS19" s="1"/>
      <c r="HT19" s="1"/>
      <c r="HU19" s="1"/>
      <c r="HV19" s="1"/>
      <c r="HW19" s="1"/>
      <c r="HX19" s="1"/>
      <c r="HY19" s="1"/>
      <c r="HZ19" s="1"/>
      <c r="IA19" s="1"/>
      <c r="IB19" s="1"/>
      <c r="IC19" s="1"/>
      <c r="ID19" s="1"/>
      <c r="IE19" s="1"/>
      <c r="IF19" s="1"/>
      <c r="IG19" s="1"/>
      <c r="IH19" s="1"/>
      <c r="II19" s="1"/>
      <c r="IJ19" s="1"/>
      <c r="IK19" s="1"/>
      <c r="IL19" s="1"/>
      <c r="IM19" s="1"/>
      <c r="IN19" s="1"/>
      <c r="IO19" s="1"/>
      <c r="IP19" s="1"/>
      <c r="IQ19" s="1"/>
      <c r="IR19" s="1"/>
      <c r="IS19" s="1"/>
      <c r="IT19" s="1"/>
      <c r="IU19" s="1"/>
      <c r="IV19" s="1"/>
    </row>
    <row r="20" spans="1:256" ht="15.75" thickBot="1">
      <c r="A20" s="3"/>
      <c r="B20" s="4"/>
      <c r="C20" s="97" t="s">
        <v>28</v>
      </c>
      <c r="D20" s="98"/>
      <c r="E20" s="98"/>
      <c r="F20" s="98"/>
      <c r="G20" s="98"/>
      <c r="H20" s="29">
        <f>H19+H18</f>
        <v>60720.19</v>
      </c>
      <c r="I20" s="4"/>
      <c r="J20" s="3"/>
    </row>
    <row r="21" spans="1:256" ht="21.75" customHeight="1">
      <c r="A21" s="3"/>
      <c r="B21" s="4"/>
      <c r="C21" s="28" t="s">
        <v>27</v>
      </c>
      <c r="D21" s="27"/>
      <c r="E21" s="27"/>
      <c r="F21" s="27"/>
      <c r="G21" s="27"/>
      <c r="H21" s="26"/>
      <c r="I21" s="4"/>
      <c r="J21" s="3"/>
    </row>
    <row r="22" spans="1:256" ht="15">
      <c r="A22" s="3"/>
      <c r="B22" s="4"/>
      <c r="C22" s="72" t="s">
        <v>26</v>
      </c>
      <c r="D22" s="73"/>
      <c r="E22" s="73"/>
      <c r="F22" s="73"/>
      <c r="G22" s="22" t="s">
        <v>20</v>
      </c>
      <c r="H22" s="16"/>
      <c r="I22" s="4"/>
      <c r="J22" s="3"/>
    </row>
    <row r="23" spans="1:256" ht="15">
      <c r="A23" s="3"/>
      <c r="B23" s="4"/>
      <c r="C23" s="66" t="s">
        <v>26</v>
      </c>
      <c r="D23" s="67"/>
      <c r="E23" s="68" t="s">
        <v>25</v>
      </c>
      <c r="F23" s="68"/>
      <c r="G23" s="20" t="s">
        <v>11</v>
      </c>
      <c r="H23" s="16"/>
      <c r="I23" s="4"/>
      <c r="J23" s="3"/>
    </row>
    <row r="24" spans="1:256" ht="15">
      <c r="A24" s="3"/>
      <c r="B24" s="4"/>
      <c r="C24" s="66" t="s">
        <v>24</v>
      </c>
      <c r="D24" s="67"/>
      <c r="E24" s="68" t="s">
        <v>22</v>
      </c>
      <c r="F24" s="68"/>
      <c r="G24" s="21"/>
      <c r="H24" s="16"/>
      <c r="I24" s="4"/>
      <c r="J24" s="3"/>
    </row>
    <row r="25" spans="1:256" ht="15">
      <c r="A25" s="3"/>
      <c r="B25" s="4"/>
      <c r="C25" s="66" t="s">
        <v>23</v>
      </c>
      <c r="D25" s="67"/>
      <c r="E25" s="68" t="s">
        <v>22</v>
      </c>
      <c r="F25" s="68"/>
      <c r="G25" s="21"/>
      <c r="H25" s="16"/>
      <c r="I25" s="4"/>
      <c r="J25" s="3"/>
    </row>
    <row r="26" spans="1:256" ht="9.9499999999999993" customHeight="1">
      <c r="A26" s="3"/>
      <c r="B26" s="4"/>
      <c r="C26" s="25"/>
      <c r="D26" s="24"/>
      <c r="E26" s="24"/>
      <c r="F26" s="24"/>
      <c r="G26" s="23"/>
      <c r="H26" s="16"/>
      <c r="I26" s="4"/>
      <c r="J26" s="3"/>
    </row>
    <row r="27" spans="1:256" ht="15">
      <c r="A27" s="3"/>
      <c r="B27" s="4"/>
      <c r="C27" s="72" t="s">
        <v>21</v>
      </c>
      <c r="D27" s="73"/>
      <c r="E27" s="73"/>
      <c r="F27" s="73"/>
      <c r="G27" s="22" t="s">
        <v>20</v>
      </c>
      <c r="H27" s="16"/>
      <c r="I27" s="4"/>
      <c r="J27" s="3"/>
    </row>
    <row r="28" spans="1:256" ht="15">
      <c r="A28" s="3"/>
      <c r="B28" s="4"/>
      <c r="C28" s="66" t="s">
        <v>17</v>
      </c>
      <c r="D28" s="67"/>
      <c r="E28" s="68" t="s">
        <v>19</v>
      </c>
      <c r="F28" s="68"/>
      <c r="G28" s="20"/>
      <c r="H28" s="16"/>
      <c r="I28" s="4"/>
      <c r="J28" s="3"/>
    </row>
    <row r="29" spans="1:256" ht="15">
      <c r="A29" s="3"/>
      <c r="B29" s="4"/>
      <c r="C29" s="66" t="s">
        <v>17</v>
      </c>
      <c r="D29" s="67"/>
      <c r="E29" s="68" t="s">
        <v>18</v>
      </c>
      <c r="F29" s="68"/>
      <c r="G29" s="20">
        <v>1</v>
      </c>
      <c r="H29" s="16"/>
      <c r="I29" s="4"/>
      <c r="J29" s="3"/>
    </row>
    <row r="30" spans="1:256" ht="15">
      <c r="A30" s="3"/>
      <c r="B30" s="4"/>
      <c r="C30" s="66" t="s">
        <v>17</v>
      </c>
      <c r="D30" s="67"/>
      <c r="E30" s="68" t="s">
        <v>16</v>
      </c>
      <c r="F30" s="68"/>
      <c r="G30" s="21"/>
      <c r="H30" s="16"/>
      <c r="I30" s="4"/>
      <c r="J30" s="3"/>
    </row>
    <row r="31" spans="1:256" ht="15">
      <c r="A31" s="3"/>
      <c r="B31" s="4"/>
      <c r="C31" s="66" t="s">
        <v>15</v>
      </c>
      <c r="D31" s="67"/>
      <c r="E31" s="68" t="s">
        <v>14</v>
      </c>
      <c r="F31" s="68"/>
      <c r="G31" s="21"/>
      <c r="H31" s="16"/>
      <c r="I31" s="4"/>
      <c r="J31" s="3"/>
    </row>
    <row r="32" spans="1:256" ht="15">
      <c r="A32" s="3"/>
      <c r="B32" s="4"/>
      <c r="C32" s="66" t="s">
        <v>13</v>
      </c>
      <c r="D32" s="67"/>
      <c r="E32" s="68" t="s">
        <v>12</v>
      </c>
      <c r="F32" s="68"/>
      <c r="G32" s="20" t="s">
        <v>11</v>
      </c>
      <c r="H32" s="16"/>
      <c r="I32" s="4"/>
      <c r="J32" s="3"/>
    </row>
    <row r="33" spans="1:256" ht="9.9499999999999993" customHeight="1">
      <c r="A33" s="3"/>
      <c r="B33" s="4"/>
      <c r="C33" s="19"/>
      <c r="D33" s="18"/>
      <c r="E33" s="18"/>
      <c r="F33" s="18"/>
      <c r="G33" s="17"/>
      <c r="H33" s="16"/>
      <c r="I33" s="4"/>
      <c r="J33" s="3"/>
    </row>
    <row r="34" spans="1:256" s="5" customFormat="1" ht="15">
      <c r="A34" s="6"/>
      <c r="B34" s="7"/>
      <c r="C34" s="69" t="s">
        <v>10</v>
      </c>
      <c r="D34" s="70"/>
      <c r="E34" s="70"/>
      <c r="F34" s="70"/>
      <c r="G34" s="70"/>
      <c r="H34" s="71"/>
      <c r="I34" s="15"/>
      <c r="J34" s="6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</row>
    <row r="35" spans="1:256" s="5" customFormat="1" ht="39.950000000000003" customHeight="1">
      <c r="A35" s="6"/>
      <c r="B35" s="7"/>
      <c r="C35" s="77" t="s">
        <v>9</v>
      </c>
      <c r="D35" s="78"/>
      <c r="E35" s="78"/>
      <c r="F35" s="78"/>
      <c r="G35" s="78"/>
      <c r="H35" s="79"/>
      <c r="I35" s="4"/>
      <c r="J35" s="6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</row>
    <row r="36" spans="1:256" s="5" customFormat="1" ht="39.950000000000003" customHeight="1">
      <c r="A36" s="6"/>
      <c r="B36" s="7"/>
      <c r="C36" s="80"/>
      <c r="D36" s="81"/>
      <c r="E36" s="81"/>
      <c r="F36" s="81"/>
      <c r="G36" s="81"/>
      <c r="H36" s="82"/>
      <c r="I36" s="4"/>
      <c r="J36" s="6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</row>
    <row r="37" spans="1:256" s="5" customFormat="1" ht="39.950000000000003" customHeight="1" thickBot="1">
      <c r="A37" s="6"/>
      <c r="B37" s="7"/>
      <c r="C37" s="83"/>
      <c r="D37" s="84"/>
      <c r="E37" s="84"/>
      <c r="F37" s="84"/>
      <c r="G37" s="84"/>
      <c r="H37" s="85"/>
      <c r="I37" s="4"/>
      <c r="J37" s="6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</row>
    <row r="38" spans="1:256" s="5" customFormat="1" ht="15">
      <c r="A38" s="6"/>
      <c r="B38" s="7"/>
      <c r="C38" s="86" t="s">
        <v>8</v>
      </c>
      <c r="D38" s="87"/>
      <c r="E38" s="87"/>
      <c r="F38" s="87"/>
      <c r="G38" s="87"/>
      <c r="H38" s="88"/>
      <c r="I38" s="4"/>
      <c r="J38" s="6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</row>
    <row r="39" spans="1:256" s="5" customFormat="1" ht="15">
      <c r="A39" s="6"/>
      <c r="B39" s="7"/>
      <c r="C39" s="74" t="s">
        <v>7</v>
      </c>
      <c r="D39" s="75"/>
      <c r="E39" s="76"/>
      <c r="F39" s="14" t="s">
        <v>6</v>
      </c>
      <c r="G39" s="64" t="s">
        <v>5</v>
      </c>
      <c r="H39" s="65"/>
      <c r="I39" s="4"/>
      <c r="J39" s="6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</row>
    <row r="40" spans="1:256" s="5" customFormat="1" ht="21">
      <c r="A40" s="6"/>
      <c r="B40" s="7"/>
      <c r="C40" s="13" t="s">
        <v>4</v>
      </c>
      <c r="D40" s="10"/>
      <c r="E40" s="12"/>
      <c r="F40" s="11"/>
      <c r="G40" s="10"/>
      <c r="H40" s="9"/>
      <c r="I40" s="4"/>
      <c r="J40" s="6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</row>
    <row r="41" spans="1:256" s="5" customFormat="1" ht="21">
      <c r="A41" s="6"/>
      <c r="B41" s="7"/>
      <c r="C41" s="50" t="str">
        <f>E32</f>
        <v>Favio Melo</v>
      </c>
      <c r="D41" s="51"/>
      <c r="E41" s="52"/>
      <c r="F41" s="8" t="s">
        <v>3</v>
      </c>
      <c r="G41" s="53" t="s">
        <v>2</v>
      </c>
      <c r="H41" s="54"/>
      <c r="I41" s="4"/>
      <c r="J41" s="6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</row>
    <row r="42" spans="1:256" s="5" customFormat="1" ht="9.9499999999999993" customHeight="1">
      <c r="A42" s="6"/>
      <c r="B42" s="7"/>
      <c r="C42" s="55"/>
      <c r="D42" s="56"/>
      <c r="E42" s="56"/>
      <c r="F42" s="56"/>
      <c r="G42" s="56"/>
      <c r="H42" s="57"/>
      <c r="I42" s="4"/>
      <c r="J42" s="6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</row>
    <row r="43" spans="1:256" s="5" customFormat="1" ht="21" customHeight="1">
      <c r="A43" s="6"/>
      <c r="B43" s="7"/>
      <c r="C43" s="58" t="s">
        <v>1</v>
      </c>
      <c r="D43" s="59"/>
      <c r="E43" s="59"/>
      <c r="F43" s="59"/>
      <c r="G43" s="59"/>
      <c r="H43" s="60"/>
      <c r="I43" s="4"/>
      <c r="J43" s="6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</row>
    <row r="44" spans="1:256" s="5" customFormat="1" ht="21" customHeight="1" thickBot="1">
      <c r="A44" s="6"/>
      <c r="B44" s="7"/>
      <c r="C44" s="61" t="s">
        <v>0</v>
      </c>
      <c r="D44" s="62"/>
      <c r="E44" s="62"/>
      <c r="F44" s="62"/>
      <c r="G44" s="62"/>
      <c r="H44" s="63"/>
      <c r="I44" s="4"/>
      <c r="J44" s="6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  <c r="IU44" s="1"/>
      <c r="IV44" s="1"/>
    </row>
    <row r="45" spans="1:256" ht="14.25">
      <c r="A45" s="3"/>
      <c r="B45" s="4"/>
      <c r="C45" s="4"/>
      <c r="D45" s="4"/>
      <c r="E45" s="4"/>
      <c r="F45" s="4"/>
      <c r="G45" s="4"/>
      <c r="H45" s="4"/>
      <c r="I45" s="4"/>
      <c r="J45" s="3"/>
    </row>
    <row r="46" spans="1:256" ht="14.25">
      <c r="A46" s="3"/>
      <c r="B46" s="3"/>
      <c r="C46" s="3"/>
      <c r="D46" s="3"/>
      <c r="E46" s="3"/>
      <c r="F46" s="3"/>
      <c r="G46" s="3"/>
      <c r="H46" s="3"/>
      <c r="I46" s="3"/>
      <c r="J46" s="3"/>
    </row>
    <row r="48" spans="1:256" ht="14.25">
      <c r="H48" s="2"/>
    </row>
  </sheetData>
  <mergeCells count="43">
    <mergeCell ref="C8:E8"/>
    <mergeCell ref="F8:H8"/>
    <mergeCell ref="C9:E9"/>
    <mergeCell ref="C3:D7"/>
    <mergeCell ref="E3:H3"/>
    <mergeCell ref="G4:H4"/>
    <mergeCell ref="F5:H5"/>
    <mergeCell ref="F6:H6"/>
    <mergeCell ref="F7:H7"/>
    <mergeCell ref="C15:H15"/>
    <mergeCell ref="C16:H16"/>
    <mergeCell ref="C28:D28"/>
    <mergeCell ref="E28:F28"/>
    <mergeCell ref="C18:G18"/>
    <mergeCell ref="C19:G19"/>
    <mergeCell ref="C20:G20"/>
    <mergeCell ref="C22:F22"/>
    <mergeCell ref="C23:D23"/>
    <mergeCell ref="E23:F23"/>
    <mergeCell ref="C17:E17"/>
    <mergeCell ref="C24:D24"/>
    <mergeCell ref="E24:F24"/>
    <mergeCell ref="C25:D25"/>
    <mergeCell ref="E25:F25"/>
    <mergeCell ref="C27:F27"/>
    <mergeCell ref="G39:H39"/>
    <mergeCell ref="C29:D29"/>
    <mergeCell ref="E29:F29"/>
    <mergeCell ref="C30:D30"/>
    <mergeCell ref="E30:F30"/>
    <mergeCell ref="C31:D31"/>
    <mergeCell ref="E31:F31"/>
    <mergeCell ref="C32:D32"/>
    <mergeCell ref="E32:F32"/>
    <mergeCell ref="C34:H34"/>
    <mergeCell ref="C39:E39"/>
    <mergeCell ref="C35:H37"/>
    <mergeCell ref="C38:H38"/>
    <mergeCell ref="C41:E41"/>
    <mergeCell ref="G41:H41"/>
    <mergeCell ref="C42:H42"/>
    <mergeCell ref="C43:H43"/>
    <mergeCell ref="C44:H4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IMC DEPOSITO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FELIPE QUINTERO ARCILA</dc:creator>
  <cp:lastModifiedBy>ANDRES FELIPE QUINTERO ARCILA</cp:lastModifiedBy>
  <dcterms:created xsi:type="dcterms:W3CDTF">2026-04-15T18:59:47Z</dcterms:created>
  <dcterms:modified xsi:type="dcterms:W3CDTF">2026-04-20T14:10:38Z</dcterms:modified>
</cp:coreProperties>
</file>