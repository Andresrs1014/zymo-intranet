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ymo-intranet\backend\app\platforms\logimat\"/>
    </mc:Choice>
  </mc:AlternateContent>
  <xr:revisionPtr revIDLastSave="0" documentId="13_ncr:1_{E492E1C1-5C35-4AE6-88F0-A2B36162E5EE}" xr6:coauthVersionLast="47" xr6:coauthVersionMax="47" xr10:uidLastSave="{00000000-0000-0000-0000-000000000000}"/>
  <bookViews>
    <workbookView xWindow="-19310" yWindow="-620" windowWidth="19420" windowHeight="11500" xr2:uid="{24C06BA4-7066-42F3-8310-534950C36D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C62" i="1"/>
  <c r="H11" i="1"/>
  <c r="H36" i="1" s="1"/>
  <c r="H37" i="1" l="1"/>
  <c r="H3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<sst xmlns="http://schemas.openxmlformats.org/spreadsheetml/2006/main" count="79" uniqueCount="53">
  <si>
    <t xml:space="preserve">         LOGIMAT S.A.S.</t>
  </si>
  <si>
    <t>NIT: 830.103.877-6</t>
  </si>
  <si>
    <t>ORDEN DE COMPRA No. L411-2026</t>
  </si>
  <si>
    <t xml:space="preserve">FECHA:   </t>
  </si>
  <si>
    <t xml:space="preserve">SEÑORES: </t>
  </si>
  <si>
    <t>GRUPO ACSACOL S.A.S</t>
  </si>
  <si>
    <t>NIT:</t>
  </si>
  <si>
    <t>901.164.862-4</t>
  </si>
  <si>
    <t xml:space="preserve">LUGAR DE ATENCION Y ENTREGA: </t>
  </si>
  <si>
    <t>Carrera  106 No. 15A-25  - Manzana 23 LTE 135M</t>
  </si>
  <si>
    <t xml:space="preserve"> ORDEN DE COMPRA SEGÚN:</t>
  </si>
  <si>
    <t>OS: 03589</t>
  </si>
  <si>
    <t xml:space="preserve">COT </t>
  </si>
  <si>
    <t>2026-0101</t>
  </si>
  <si>
    <t>ITEM</t>
  </si>
  <si>
    <t>CANT.</t>
  </si>
  <si>
    <t>REFERENCIA</t>
  </si>
  <si>
    <t>VALOR UNITARIO</t>
  </si>
  <si>
    <t xml:space="preserve">PRODUCTO EXENTO para lavado y 
desinfección tanque agua potable - subterráneo </t>
  </si>
  <si>
    <t>Nota:
No asumimos responsabilidad por servicios facturados fuera de este plazo.</t>
  </si>
  <si>
    <t>Buzón Facturación</t>
  </si>
  <si>
    <t>830103877@factureinbox.co</t>
  </si>
  <si>
    <t>SUB TOTAL</t>
  </si>
  <si>
    <t>IVA</t>
  </si>
  <si>
    <t>VALOR TOTAL</t>
  </si>
  <si>
    <t>Observaciones: el valor a pagar puede variar de acuerdo a los impuestos aplicados según la ley.</t>
  </si>
  <si>
    <t>FORMA DE PAGO</t>
  </si>
  <si>
    <t>RELACIONAR</t>
  </si>
  <si>
    <t>CREDITO 30 DÍAS</t>
  </si>
  <si>
    <t>X</t>
  </si>
  <si>
    <t>ANTICIPO</t>
  </si>
  <si>
    <t>$</t>
  </si>
  <si>
    <t xml:space="preserve">PAGO SALDO </t>
  </si>
  <si>
    <t>FORMA DE ENTREGA</t>
  </si>
  <si>
    <t>PLAZO DE ENTREGA:</t>
  </si>
  <si>
    <t>INMEDIATA</t>
  </si>
  <si>
    <t>DÍAS</t>
  </si>
  <si>
    <t>PROGRAMACIÓN FECHA</t>
  </si>
  <si>
    <t>GARANTIA</t>
  </si>
  <si>
    <t xml:space="preserve">CALIDAD </t>
  </si>
  <si>
    <t xml:space="preserve">ENTREGAR A </t>
  </si>
  <si>
    <t>Yeni Roncancio</t>
  </si>
  <si>
    <t>APRECIADO PROVEEDOR</t>
  </si>
  <si>
    <t xml:space="preserve">
Nuestro grupo logístico LOGIMAT SAS, IMC CARGO INTERNATIONAL SAS e IMC DEPOSITO SAS orientados bajo estándares de transparencia, seguridad e integridad empresarial y con la finalidad de asegurar relaciones comerciales saludables, dentro del marco legal y en virtud de ello siendo conscientes que a nivel global estamos expuestos a riesgos tales como, el lavado de activos, financiamiento del terrorismo, extorsión, tráfico de armas, soborno, ciberataques, contaminación de la carga, entre otros. Lo invitamos a participar en la prevención de los riesgos, manteniendo su negocio con procesos de seguridad y conocimiento de sus asociados, lo cual fortalece nuestras relaciones comerciales y evita perdida de estas y permite crecimiento entre las partes interesadas.</t>
  </si>
  <si>
    <t>FIRMA Y SELLO</t>
  </si>
  <si>
    <t>SOLICITA</t>
  </si>
  <si>
    <t>ELABORA</t>
  </si>
  <si>
    <t>APRUEBA</t>
  </si>
  <si>
    <t>SIG</t>
  </si>
  <si>
    <t>Alejandra Orozco</t>
  </si>
  <si>
    <t>Sonia Gómez</t>
  </si>
  <si>
    <r>
      <t>LOGIMAT S.A.S</t>
    </r>
    <r>
      <rPr>
        <b/>
        <sz val="12"/>
        <color indexed="8"/>
        <rFont val="Aptos Narrow"/>
        <family val="2"/>
        <scheme val="minor"/>
      </rPr>
      <t>, Carrera 106 No: 15 -25 Manzana 23 Lote 135M
Zona Franca de Bogotá - Colombia.</t>
    </r>
  </si>
  <si>
    <t>PBX: (1) 7 44 92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</si>
</sst>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[$-F800]dddd\,\ mmmm\ dd\,\ yyyy"/>
    <numFmt numFmtId="167" formatCode="_-&quot;$&quot;* #,##0.00_-;\-&quot;$&quot;* #,##0.00_-;_-&quot;$&quot;* &quot;-&quot;??_-;_-@_-"/>
    <numFmt numFmtId="168" formatCode="_-&quot;$&quot;* #,##0_-;\-&quot;$&quot;* #,##0_-;_-&quot;$&quot;* &quot;-&quot;??_-;_-@_-"/>
    <numFmt numFmtId="169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mbria"/>
      <family val="1"/>
    </font>
    <font>
      <b/>
      <i/>
      <sz val="11"/>
      <color rgb="FF000000"/>
      <name val="Aptos Narrow"/>
      <family val="2"/>
      <scheme val="minor"/>
    </font>
    <font>
      <sz val="11"/>
      <color rgb="FF000000"/>
      <name val="Jumble"/>
    </font>
    <font>
      <b/>
      <sz val="16"/>
      <color rgb="FF000000"/>
      <name val="Magneto"/>
      <family val="5"/>
    </font>
    <font>
      <b/>
      <sz val="14"/>
      <color rgb="FF000000"/>
      <name val="Magneto"/>
      <family val="5"/>
    </font>
    <font>
      <b/>
      <i/>
      <sz val="10"/>
      <color rgb="FF00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1">
    <xf numFmtId="0" fontId="0" fillId="0" borderId="0" xfId="0"/>
    <xf numFmtId="0" fontId="3" fillId="2" borderId="0" xfId="3" applyFill="1"/>
    <xf numFmtId="0" fontId="3" fillId="0" borderId="0" xfId="3"/>
    <xf numFmtId="0" fontId="5" fillId="0" borderId="1" xfId="3" applyFont="1" applyBorder="1" applyAlignment="1">
      <alignment horizontal="left" vertical="center" wrapText="1"/>
    </xf>
    <xf numFmtId="0" fontId="7" fillId="0" borderId="4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right" vertical="center"/>
    </xf>
    <xf numFmtId="0" fontId="7" fillId="0" borderId="6" xfId="3" applyFont="1" applyBorder="1" applyAlignment="1">
      <alignment horizontal="left" vertical="center" wrapText="1"/>
    </xf>
    <xf numFmtId="0" fontId="8" fillId="3" borderId="7" xfId="3" applyFont="1" applyFill="1" applyBorder="1" applyAlignment="1">
      <alignment horizontal="center" vertical="center" wrapText="1"/>
    </xf>
    <xf numFmtId="0" fontId="8" fillId="3" borderId="8" xfId="3" applyFont="1" applyFill="1" applyBorder="1" applyAlignment="1">
      <alignment horizontal="center" vertical="center" wrapText="1"/>
    </xf>
    <xf numFmtId="0" fontId="8" fillId="3" borderId="9" xfId="3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  <xf numFmtId="0" fontId="3" fillId="0" borderId="0" xfId="3" applyAlignment="1">
      <alignment wrapText="1"/>
    </xf>
    <xf numFmtId="0" fontId="8" fillId="4" borderId="1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left" wrapText="1"/>
    </xf>
    <xf numFmtId="164" fontId="9" fillId="4" borderId="1" xfId="1" applyFont="1" applyFill="1" applyBorder="1" applyAlignment="1">
      <alignment horizontal="center" vertical="center" wrapText="1"/>
    </xf>
    <xf numFmtId="168" fontId="10" fillId="4" borderId="1" xfId="4" applyNumberFormat="1" applyFont="1" applyFill="1" applyBorder="1" applyAlignment="1">
      <alignment vertical="center"/>
    </xf>
    <xf numFmtId="168" fontId="3" fillId="2" borderId="0" xfId="3" applyNumberFormat="1" applyFill="1"/>
    <xf numFmtId="0" fontId="2" fillId="2" borderId="19" xfId="2" applyFill="1" applyBorder="1" applyAlignment="1" applyProtection="1">
      <alignment horizontal="center" vertical="center"/>
    </xf>
    <xf numFmtId="168" fontId="13" fillId="2" borderId="19" xfId="5" applyNumberFormat="1" applyFont="1" applyFill="1" applyBorder="1" applyAlignment="1">
      <alignment horizontal="right" vertical="center"/>
    </xf>
    <xf numFmtId="168" fontId="13" fillId="2" borderId="20" xfId="5" applyNumberFormat="1" applyFont="1" applyFill="1" applyBorder="1" applyAlignment="1">
      <alignment horizontal="center" vertical="center"/>
    </xf>
    <xf numFmtId="167" fontId="14" fillId="0" borderId="2" xfId="7" applyFont="1" applyBorder="1" applyAlignment="1">
      <alignment horizontal="right" vertical="center"/>
    </xf>
    <xf numFmtId="169" fontId="3" fillId="2" borderId="0" xfId="6" applyNumberFormat="1" applyFont="1" applyFill="1"/>
    <xf numFmtId="167" fontId="14" fillId="0" borderId="27" xfId="7" applyFont="1" applyBorder="1" applyAlignment="1">
      <alignment horizontal="right" vertical="center"/>
    </xf>
    <xf numFmtId="165" fontId="3" fillId="2" borderId="0" xfId="6" applyFont="1" applyFill="1"/>
    <xf numFmtId="0" fontId="7" fillId="0" borderId="28" xfId="3" applyFont="1" applyBorder="1" applyAlignment="1">
      <alignment vertical="center"/>
    </xf>
    <xf numFmtId="0" fontId="3" fillId="0" borderId="29" xfId="3" applyBorder="1" applyAlignment="1">
      <alignment vertical="center"/>
    </xf>
    <xf numFmtId="0" fontId="3" fillId="0" borderId="30" xfId="3" applyBorder="1" applyAlignment="1">
      <alignment vertical="center"/>
    </xf>
    <xf numFmtId="0" fontId="7" fillId="3" borderId="1" xfId="3" applyFont="1" applyFill="1" applyBorder="1" applyAlignment="1">
      <alignment horizontal="center" vertical="center"/>
    </xf>
    <xf numFmtId="0" fontId="3" fillId="0" borderId="31" xfId="3" applyBorder="1" applyAlignment="1">
      <alignment vertical="center"/>
    </xf>
    <xf numFmtId="0" fontId="3" fillId="0" borderId="1" xfId="3" applyBorder="1" applyAlignment="1">
      <alignment horizontal="center" vertical="center"/>
    </xf>
    <xf numFmtId="0" fontId="3" fillId="0" borderId="1" xfId="3" applyBorder="1" applyAlignment="1">
      <alignment vertical="center"/>
    </xf>
    <xf numFmtId="0" fontId="3" fillId="0" borderId="32" xfId="3" applyBorder="1" applyAlignment="1">
      <alignment vertical="center"/>
    </xf>
    <xf numFmtId="0" fontId="3" fillId="0" borderId="0" xfId="3" applyAlignment="1">
      <alignment vertical="center"/>
    </xf>
    <xf numFmtId="0" fontId="3" fillId="0" borderId="0" xfId="3" applyAlignment="1">
      <alignment horizontal="center" vertical="center"/>
    </xf>
    <xf numFmtId="0" fontId="7" fillId="0" borderId="14" xfId="3" applyFont="1" applyBorder="1" applyAlignment="1">
      <alignment horizontal="left" vertical="center" wrapText="1"/>
    </xf>
    <xf numFmtId="0" fontId="7" fillId="0" borderId="15" xfId="3" applyFont="1" applyBorder="1" applyAlignment="1">
      <alignment horizontal="left" vertical="center" wrapText="1"/>
    </xf>
    <xf numFmtId="0" fontId="3" fillId="0" borderId="15" xfId="3" applyBorder="1" applyAlignment="1">
      <alignment horizontal="left" vertical="center"/>
    </xf>
    <xf numFmtId="0" fontId="3" fillId="0" borderId="15" xfId="3" applyBorder="1" applyAlignment="1">
      <alignment vertical="center"/>
    </xf>
    <xf numFmtId="0" fontId="3" fillId="0" borderId="16" xfId="3" applyBorder="1" applyAlignment="1">
      <alignment vertical="center"/>
    </xf>
    <xf numFmtId="0" fontId="7" fillId="0" borderId="3" xfId="3" applyFont="1" applyBorder="1" applyAlignment="1">
      <alignment vertical="center"/>
    </xf>
    <xf numFmtId="0" fontId="7" fillId="0" borderId="12" xfId="3" applyFont="1" applyBorder="1" applyAlignment="1">
      <alignment vertical="center"/>
    </xf>
    <xf numFmtId="0" fontId="7" fillId="0" borderId="13" xfId="3" applyFont="1" applyBorder="1" applyAlignment="1">
      <alignment vertical="center"/>
    </xf>
    <xf numFmtId="0" fontId="18" fillId="0" borderId="32" xfId="3" applyFont="1" applyBorder="1" applyAlignment="1">
      <alignment vertical="center"/>
    </xf>
    <xf numFmtId="0" fontId="19" fillId="0" borderId="0" xfId="3" applyFont="1" applyAlignment="1">
      <alignment vertical="center"/>
    </xf>
    <xf numFmtId="0" fontId="19" fillId="0" borderId="35" xfId="3" applyFont="1" applyBorder="1" applyAlignment="1">
      <alignment vertical="center"/>
    </xf>
    <xf numFmtId="0" fontId="19" fillId="0" borderId="9" xfId="3" applyFont="1" applyBorder="1" applyAlignment="1">
      <alignment vertical="center"/>
    </xf>
    <xf numFmtId="0" fontId="19" fillId="0" borderId="31" xfId="3" applyFont="1" applyBorder="1" applyAlignment="1">
      <alignment vertical="center"/>
    </xf>
    <xf numFmtId="0" fontId="19" fillId="0" borderId="37" xfId="3" applyFont="1" applyBorder="1" applyAlignment="1">
      <alignment vertical="center"/>
    </xf>
    <xf numFmtId="169" fontId="3" fillId="0" borderId="0" xfId="6" applyNumberFormat="1" applyFont="1"/>
    <xf numFmtId="169" fontId="7" fillId="3" borderId="17" xfId="8" applyNumberFormat="1" applyFont="1" applyFill="1" applyBorder="1" applyAlignment="1">
      <alignment horizontal="center" vertical="center"/>
    </xf>
    <xf numFmtId="169" fontId="7" fillId="3" borderId="18" xfId="8" applyNumberFormat="1" applyFont="1" applyFill="1" applyBorder="1" applyAlignment="1">
      <alignment horizontal="center" vertical="center"/>
    </xf>
    <xf numFmtId="169" fontId="7" fillId="3" borderId="33" xfId="8" applyNumberFormat="1" applyFont="1" applyFill="1" applyBorder="1" applyAlignment="1">
      <alignment horizontal="center" vertical="center"/>
    </xf>
    <xf numFmtId="0" fontId="7" fillId="0" borderId="11" xfId="3" applyFont="1" applyBorder="1" applyAlignment="1">
      <alignment horizontal="left" vertical="center"/>
    </xf>
    <xf numFmtId="0" fontId="7" fillId="0" borderId="12" xfId="3" applyFont="1" applyBorder="1" applyAlignment="1">
      <alignment horizontal="left" vertical="center"/>
    </xf>
    <xf numFmtId="0" fontId="7" fillId="0" borderId="34" xfId="3" applyFont="1" applyBorder="1" applyAlignment="1">
      <alignment horizontal="left" vertical="center"/>
    </xf>
    <xf numFmtId="0" fontId="20" fillId="0" borderId="1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left" vertical="center"/>
    </xf>
    <xf numFmtId="0" fontId="19" fillId="0" borderId="16" xfId="3" applyFont="1" applyBorder="1" applyAlignment="1">
      <alignment horizontal="left" vertical="center"/>
    </xf>
    <xf numFmtId="0" fontId="21" fillId="0" borderId="28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16" xfId="3" applyFont="1" applyBorder="1" applyAlignment="1">
      <alignment horizontal="center" vertical="center" wrapText="1"/>
    </xf>
    <xf numFmtId="0" fontId="7" fillId="3" borderId="21" xfId="3" applyFont="1" applyFill="1" applyBorder="1" applyAlignment="1">
      <alignment horizontal="left" vertical="center" wrapText="1"/>
    </xf>
    <xf numFmtId="0" fontId="7" fillId="3" borderId="23" xfId="3" applyFont="1" applyFill="1" applyBorder="1" applyAlignment="1">
      <alignment horizontal="left" vertical="center" wrapText="1"/>
    </xf>
    <xf numFmtId="0" fontId="3" fillId="0" borderId="39" xfId="3" applyBorder="1" applyAlignment="1">
      <alignment horizontal="left" vertical="center"/>
    </xf>
    <xf numFmtId="0" fontId="3" fillId="0" borderId="23" xfId="3" applyBorder="1" applyAlignment="1">
      <alignment horizontal="left" vertical="center"/>
    </xf>
    <xf numFmtId="0" fontId="15" fillId="0" borderId="39" xfId="3" applyFont="1" applyBorder="1" applyAlignment="1">
      <alignment horizontal="left" vertical="center"/>
    </xf>
    <xf numFmtId="0" fontId="15" fillId="0" borderId="23" xfId="3" applyFont="1" applyBorder="1" applyAlignment="1">
      <alignment horizontal="left" vertical="center"/>
    </xf>
    <xf numFmtId="169" fontId="16" fillId="3" borderId="17" xfId="8" applyNumberFormat="1" applyFont="1" applyFill="1" applyBorder="1" applyAlignment="1">
      <alignment horizontal="center" vertical="center"/>
    </xf>
    <xf numFmtId="169" fontId="16" fillId="3" borderId="18" xfId="8" applyNumberFormat="1" applyFont="1" applyFill="1" applyBorder="1" applyAlignment="1">
      <alignment horizontal="center" vertical="center"/>
    </xf>
    <xf numFmtId="169" fontId="16" fillId="3" borderId="33" xfId="8" applyNumberFormat="1" applyFont="1" applyFill="1" applyBorder="1" applyAlignment="1">
      <alignment horizontal="center" vertical="center"/>
    </xf>
    <xf numFmtId="49" fontId="17" fillId="4" borderId="11" xfId="6" applyNumberFormat="1" applyFont="1" applyFill="1" applyBorder="1" applyAlignment="1">
      <alignment horizontal="left" vertical="center" wrapText="1"/>
    </xf>
    <xf numFmtId="49" fontId="17" fillId="4" borderId="12" xfId="6" applyNumberFormat="1" applyFont="1" applyFill="1" applyBorder="1" applyAlignment="1">
      <alignment horizontal="left" vertical="center" wrapText="1"/>
    </xf>
    <xf numFmtId="49" fontId="17" fillId="4" borderId="13" xfId="6" applyNumberFormat="1" applyFont="1" applyFill="1" applyBorder="1" applyAlignment="1">
      <alignment horizontal="left" vertical="center" wrapText="1"/>
    </xf>
    <xf numFmtId="49" fontId="17" fillId="4" borderId="32" xfId="6" applyNumberFormat="1" applyFont="1" applyFill="1" applyBorder="1" applyAlignment="1">
      <alignment horizontal="left" vertical="center" wrapText="1"/>
    </xf>
    <xf numFmtId="49" fontId="17" fillId="4" borderId="0" xfId="6" applyNumberFormat="1" applyFont="1" applyFill="1" applyBorder="1" applyAlignment="1">
      <alignment horizontal="left" vertical="center" wrapText="1"/>
    </xf>
    <xf numFmtId="49" fontId="17" fillId="4" borderId="31" xfId="6" applyNumberFormat="1" applyFont="1" applyFill="1" applyBorder="1" applyAlignment="1">
      <alignment horizontal="left" vertical="center" wrapText="1"/>
    </xf>
    <xf numFmtId="49" fontId="17" fillId="4" borderId="14" xfId="6" applyNumberFormat="1" applyFont="1" applyFill="1" applyBorder="1" applyAlignment="1">
      <alignment horizontal="left" vertical="center" wrapText="1"/>
    </xf>
    <xf numFmtId="49" fontId="17" fillId="4" borderId="15" xfId="6" applyNumberFormat="1" applyFont="1" applyFill="1" applyBorder="1" applyAlignment="1">
      <alignment horizontal="left" vertical="center" wrapText="1"/>
    </xf>
    <xf numFmtId="49" fontId="17" fillId="4" borderId="16" xfId="6" applyNumberFormat="1" applyFont="1" applyFill="1" applyBorder="1" applyAlignment="1">
      <alignment horizontal="left" vertical="center" wrapText="1"/>
    </xf>
    <xf numFmtId="0" fontId="7" fillId="3" borderId="21" xfId="3" applyFont="1" applyFill="1" applyBorder="1" applyAlignment="1">
      <alignment horizontal="center" vertical="center"/>
    </xf>
    <xf numFmtId="0" fontId="7" fillId="3" borderId="22" xfId="3" applyFont="1" applyFill="1" applyBorder="1" applyAlignment="1">
      <alignment horizontal="center" vertical="center"/>
    </xf>
    <xf numFmtId="0" fontId="7" fillId="3" borderId="23" xfId="3" applyFont="1" applyFill="1" applyBorder="1" applyAlignment="1">
      <alignment horizontal="center" vertical="center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3" fillId="2" borderId="17" xfId="3" applyFont="1" applyFill="1" applyBorder="1" applyAlignment="1">
      <alignment horizontal="left" vertical="center"/>
    </xf>
    <xf numFmtId="0" fontId="13" fillId="2" borderId="18" xfId="3" applyFont="1" applyFill="1" applyBorder="1" applyAlignment="1">
      <alignment horizontal="left" vertical="center"/>
    </xf>
    <xf numFmtId="169" fontId="8" fillId="3" borderId="21" xfId="6" applyNumberFormat="1" applyFont="1" applyFill="1" applyBorder="1" applyAlignment="1">
      <alignment horizontal="center" vertical="center"/>
    </xf>
    <xf numFmtId="169" fontId="8" fillId="3" borderId="22" xfId="6" applyNumberFormat="1" applyFont="1" applyFill="1" applyBorder="1" applyAlignment="1">
      <alignment horizontal="center" vertical="center"/>
    </xf>
    <xf numFmtId="169" fontId="8" fillId="3" borderId="23" xfId="6" applyNumberFormat="1" applyFont="1" applyFill="1" applyBorder="1" applyAlignment="1">
      <alignment horizontal="center" vertical="center"/>
    </xf>
    <xf numFmtId="169" fontId="8" fillId="3" borderId="24" xfId="6" applyNumberFormat="1" applyFont="1" applyFill="1" applyBorder="1" applyAlignment="1">
      <alignment horizontal="center" vertical="center"/>
    </xf>
    <xf numFmtId="169" fontId="8" fillId="3" borderId="25" xfId="6" applyNumberFormat="1" applyFont="1" applyFill="1" applyBorder="1" applyAlignment="1">
      <alignment horizontal="center" vertical="center"/>
    </xf>
    <xf numFmtId="169" fontId="8" fillId="3" borderId="26" xfId="6" applyNumberFormat="1" applyFont="1" applyFill="1" applyBorder="1" applyAlignment="1">
      <alignment horizontal="center" vertical="center"/>
    </xf>
    <xf numFmtId="0" fontId="5" fillId="0" borderId="21" xfId="3" applyFont="1" applyBorder="1" applyAlignment="1">
      <alignment horizontal="left" vertical="center" wrapText="1"/>
    </xf>
    <xf numFmtId="0" fontId="5" fillId="0" borderId="22" xfId="3" applyFont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166" fontId="6" fillId="0" borderId="39" xfId="3" applyNumberFormat="1" applyFont="1" applyBorder="1" applyAlignment="1">
      <alignment horizontal="left" vertical="center" wrapText="1"/>
    </xf>
    <xf numFmtId="166" fontId="6" fillId="0" borderId="22" xfId="3" applyNumberFormat="1" applyFont="1" applyBorder="1" applyAlignment="1">
      <alignment horizontal="left" vertical="center" wrapText="1"/>
    </xf>
    <xf numFmtId="166" fontId="6" fillId="0" borderId="40" xfId="3" applyNumberFormat="1" applyFont="1" applyBorder="1" applyAlignment="1">
      <alignment horizontal="left" vertical="center" wrapText="1"/>
    </xf>
    <xf numFmtId="0" fontId="5" fillId="0" borderId="24" xfId="3" applyFont="1" applyBorder="1" applyAlignment="1">
      <alignment horizontal="left" vertical="center" wrapText="1"/>
    </xf>
    <xf numFmtId="0" fontId="5" fillId="0" borderId="25" xfId="3" applyFont="1" applyBorder="1" applyAlignment="1">
      <alignment horizontal="left" vertical="center" wrapText="1"/>
    </xf>
    <xf numFmtId="0" fontId="5" fillId="0" borderId="26" xfId="3" applyFont="1" applyBorder="1" applyAlignment="1">
      <alignment horizontal="left" vertical="center" wrapText="1"/>
    </xf>
    <xf numFmtId="0" fontId="6" fillId="0" borderId="4" xfId="3" applyFont="1" applyBorder="1" applyAlignment="1">
      <alignment horizontal="left" vertical="center" wrapText="1"/>
    </xf>
    <xf numFmtId="0" fontId="6" fillId="0" borderId="25" xfId="3" applyFont="1" applyBorder="1" applyAlignment="1">
      <alignment horizontal="left" vertical="center" wrapText="1"/>
    </xf>
    <xf numFmtId="0" fontId="6" fillId="0" borderId="47" xfId="3" applyFont="1" applyBorder="1" applyAlignment="1">
      <alignment horizontal="left" vertical="center" wrapText="1"/>
    </xf>
    <xf numFmtId="0" fontId="7" fillId="0" borderId="5" xfId="3" applyFont="1" applyBorder="1" applyAlignment="1">
      <alignment horizontal="left" vertical="center"/>
    </xf>
    <xf numFmtId="0" fontId="7" fillId="0" borderId="45" xfId="3" applyFont="1" applyBorder="1" applyAlignment="1">
      <alignment horizontal="left" vertical="center"/>
    </xf>
    <xf numFmtId="0" fontId="7" fillId="0" borderId="46" xfId="3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4" fillId="0" borderId="33" xfId="3" applyFont="1" applyBorder="1" applyAlignment="1">
      <alignment horizontal="center" vertical="center" wrapText="1"/>
    </xf>
    <xf numFmtId="0" fontId="5" fillId="0" borderId="39" xfId="3" applyFont="1" applyBorder="1" applyAlignment="1">
      <alignment horizontal="left" vertical="center" wrapText="1"/>
    </xf>
    <xf numFmtId="0" fontId="5" fillId="0" borderId="40" xfId="3" applyFont="1" applyBorder="1" applyAlignment="1">
      <alignment horizontal="left" vertical="center" wrapText="1"/>
    </xf>
    <xf numFmtId="0" fontId="5" fillId="0" borderId="21" xfId="3" applyFont="1" applyBorder="1" applyAlignment="1">
      <alignment horizontal="left" vertical="center"/>
    </xf>
    <xf numFmtId="0" fontId="5" fillId="0" borderId="22" xfId="3" applyFont="1" applyBorder="1" applyAlignment="1">
      <alignment horizontal="left" vertical="center"/>
    </xf>
    <xf numFmtId="0" fontId="5" fillId="0" borderId="23" xfId="3" applyFont="1" applyBorder="1" applyAlignment="1">
      <alignment horizontal="left" vertical="center"/>
    </xf>
  </cellXfs>
  <cellStyles count="9">
    <cellStyle name="Excel Built-in Normal" xfId="3" xr:uid="{C39715B7-7C29-488A-9305-8E7D0691B98A}"/>
    <cellStyle name="Hipervínculo" xfId="2" builtinId="8"/>
    <cellStyle name="Millares 2 5" xfId="6" xr:uid="{5027F934-65C6-49F8-A63E-63C5AE6CED1F}"/>
    <cellStyle name="Millares 3 8" xfId="8" xr:uid="{4CD2C0AE-6677-4123-8727-1BBC7C66D33C}"/>
    <cellStyle name="Moneda" xfId="1" builtinId="4"/>
    <cellStyle name="Moneda 2 2 5" xfId="4" xr:uid="{B001C082-D7DD-478C-B676-44FB8BCF40F6}"/>
    <cellStyle name="Moneda 3 2 4" xfId="5" xr:uid="{41469C9C-83A8-45E7-9FB0-1F3D65F80A68}"/>
    <cellStyle name="Moneda 3 9" xfId="7" xr:uid="{78EFD1DC-764E-4CCB-926B-8549DCAB630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63500</xdr:rowOff>
    </xdr:from>
    <xdr:ext cx="0" cy="330989"/>
    <xdr:pic>
      <xdr:nvPicPr>
        <xdr:cNvPr id="2" name="Gráfico 1" descr="Advertencia con relleno sólido">
          <a:extLst>
            <a:ext uri="{FF2B5EF4-FFF2-40B4-BE49-F238E27FC236}">
              <a16:creationId xmlns:a16="http://schemas.microsoft.com/office/drawing/2014/main" id="{BC857ADE-2127-42D6-86E7-BD9E7D4C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0" y="7588250"/>
          <a:ext cx="266700" cy="273839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830103877@factureinbox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4AB5-9B7D-4CE4-BE89-EA920ADDC374}">
  <dimension ref="A1:IV68"/>
  <sheetViews>
    <sheetView tabSelected="1" workbookViewId="0">
      <selection activeCell="E32" sqref="E32"/>
    </sheetView>
  </sheetViews>
  <sheetFormatPr baseColWidth="10" defaultColWidth="0" defaultRowHeight="15" x14ac:dyDescent="0.25"/>
  <cols>
    <col min="1" max="2" width="3.28515625" style="2" customWidth="1"/>
    <col min="3" max="4" width="14.5703125" style="2" customWidth="1"/>
    <col min="5" max="5" width="13.85546875" style="2" customWidth="1"/>
    <col min="6" max="6" width="47.85546875" style="2" bestFit="1" customWidth="1"/>
    <col min="7" max="7" width="18.28515625" style="2" customWidth="1"/>
    <col min="8" max="8" width="21.5703125" style="2" customWidth="1"/>
    <col min="9" max="10" width="3.28515625" style="2" customWidth="1"/>
    <col min="11" max="256" width="0" style="2" hidden="1" customWidth="1"/>
    <col min="257" max="16384" width="10.42578125" style="2" hidden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5.75" thickBot="1" x14ac:dyDescent="0.3">
      <c r="A2" s="1"/>
      <c r="J2" s="1"/>
    </row>
    <row r="3" spans="1:11" ht="18.75" x14ac:dyDescent="0.25">
      <c r="A3" s="1"/>
      <c r="C3" s="117" t="e" vm="1">
        <v>#VALUE!</v>
      </c>
      <c r="D3" s="118"/>
      <c r="E3" s="119"/>
      <c r="F3" s="123" t="s">
        <v>0</v>
      </c>
      <c r="G3" s="124"/>
      <c r="H3" s="125"/>
      <c r="J3" s="1"/>
    </row>
    <row r="4" spans="1:11" x14ac:dyDescent="0.25">
      <c r="A4" s="1"/>
      <c r="C4" s="120"/>
      <c r="D4" s="121"/>
      <c r="E4" s="122"/>
      <c r="F4" s="3" t="s">
        <v>1</v>
      </c>
      <c r="G4" s="126" t="s">
        <v>2</v>
      </c>
      <c r="H4" s="127"/>
      <c r="J4" s="1"/>
    </row>
    <row r="5" spans="1:11" x14ac:dyDescent="0.25">
      <c r="A5" s="1"/>
      <c r="C5" s="128" t="s">
        <v>3</v>
      </c>
      <c r="D5" s="129"/>
      <c r="E5" s="130"/>
      <c r="F5" s="102">
        <v>46126</v>
      </c>
      <c r="G5" s="103"/>
      <c r="H5" s="104"/>
      <c r="J5" s="1"/>
    </row>
    <row r="6" spans="1:11" x14ac:dyDescent="0.25">
      <c r="A6" s="1"/>
      <c r="C6" s="99" t="s">
        <v>4</v>
      </c>
      <c r="D6" s="100"/>
      <c r="E6" s="101"/>
      <c r="F6" s="102" t="s">
        <v>5</v>
      </c>
      <c r="G6" s="103"/>
      <c r="H6" s="104"/>
      <c r="J6" s="1"/>
    </row>
    <row r="7" spans="1:11" x14ac:dyDescent="0.25">
      <c r="A7" s="1"/>
      <c r="C7" s="99" t="s">
        <v>6</v>
      </c>
      <c r="D7" s="100"/>
      <c r="E7" s="101"/>
      <c r="F7" s="102" t="s">
        <v>7</v>
      </c>
      <c r="G7" s="103"/>
      <c r="H7" s="104"/>
      <c r="J7" s="1"/>
    </row>
    <row r="8" spans="1:11" ht="15.75" thickBot="1" x14ac:dyDescent="0.3">
      <c r="A8" s="1"/>
      <c r="C8" s="105" t="s">
        <v>8</v>
      </c>
      <c r="D8" s="106"/>
      <c r="E8" s="107"/>
      <c r="F8" s="108" t="s">
        <v>9</v>
      </c>
      <c r="G8" s="109"/>
      <c r="H8" s="110"/>
      <c r="J8" s="1"/>
    </row>
    <row r="9" spans="1:11" ht="15.75" thickBot="1" x14ac:dyDescent="0.3">
      <c r="A9" s="1"/>
      <c r="C9" s="111" t="s">
        <v>10</v>
      </c>
      <c r="D9" s="112"/>
      <c r="E9" s="113"/>
      <c r="F9" s="4" t="s">
        <v>11</v>
      </c>
      <c r="G9" s="5" t="s">
        <v>12</v>
      </c>
      <c r="H9" s="6" t="s">
        <v>13</v>
      </c>
      <c r="J9" s="1"/>
    </row>
    <row r="10" spans="1:11" ht="15.75" x14ac:dyDescent="0.25">
      <c r="A10" s="1"/>
      <c r="C10" s="7" t="s">
        <v>14</v>
      </c>
      <c r="D10" s="8" t="s">
        <v>15</v>
      </c>
      <c r="E10" s="8" t="s">
        <v>16</v>
      </c>
      <c r="F10" s="8"/>
      <c r="G10" s="9" t="s">
        <v>17</v>
      </c>
      <c r="H10" s="10"/>
      <c r="J10" s="1"/>
      <c r="K10" s="11"/>
    </row>
    <row r="11" spans="1:11" ht="31.5" x14ac:dyDescent="0.25">
      <c r="A11" s="1"/>
      <c r="C11" s="12">
        <v>1</v>
      </c>
      <c r="D11" s="13">
        <v>1</v>
      </c>
      <c r="E11" s="12"/>
      <c r="F11" s="14" t="s">
        <v>18</v>
      </c>
      <c r="G11" s="15">
        <v>360000</v>
      </c>
      <c r="H11" s="16">
        <f>+G11*D11</f>
        <v>360000</v>
      </c>
      <c r="J11" s="1"/>
      <c r="K11" s="11"/>
    </row>
    <row r="12" spans="1:11" ht="31.5" hidden="1" x14ac:dyDescent="0.25">
      <c r="A12" s="1"/>
      <c r="C12" s="12">
        <v>1</v>
      </c>
      <c r="D12" s="13">
        <v>1</v>
      </c>
      <c r="E12" s="12"/>
      <c r="F12" s="14" t="s">
        <v>18</v>
      </c>
      <c r="G12" s="15">
        <v>360001</v>
      </c>
      <c r="H12" s="16">
        <f t="shared" ref="H12:H32" si="0">+G12*D12</f>
        <v>360001</v>
      </c>
      <c r="J12" s="1"/>
    </row>
    <row r="13" spans="1:11" ht="31.5" hidden="1" x14ac:dyDescent="0.25">
      <c r="A13" s="1"/>
      <c r="C13" s="12">
        <v>1</v>
      </c>
      <c r="D13" s="13">
        <v>1</v>
      </c>
      <c r="E13" s="12"/>
      <c r="F13" s="14" t="s">
        <v>18</v>
      </c>
      <c r="G13" s="15">
        <v>360002</v>
      </c>
      <c r="H13" s="16">
        <f t="shared" si="0"/>
        <v>360002</v>
      </c>
      <c r="J13" s="1"/>
    </row>
    <row r="14" spans="1:11" ht="31.5" hidden="1" x14ac:dyDescent="0.25">
      <c r="A14" s="1"/>
      <c r="C14" s="12">
        <v>1</v>
      </c>
      <c r="D14" s="13">
        <v>1</v>
      </c>
      <c r="E14" s="12"/>
      <c r="F14" s="14" t="s">
        <v>18</v>
      </c>
      <c r="G14" s="15">
        <v>360003</v>
      </c>
      <c r="H14" s="16">
        <f t="shared" si="0"/>
        <v>360003</v>
      </c>
      <c r="J14" s="1"/>
    </row>
    <row r="15" spans="1:11" ht="31.5" hidden="1" x14ac:dyDescent="0.25">
      <c r="A15" s="1"/>
      <c r="C15" s="12">
        <v>1</v>
      </c>
      <c r="D15" s="13">
        <v>1</v>
      </c>
      <c r="E15" s="12"/>
      <c r="F15" s="14" t="s">
        <v>18</v>
      </c>
      <c r="G15" s="15">
        <v>360004</v>
      </c>
      <c r="H15" s="16">
        <f t="shared" si="0"/>
        <v>360004</v>
      </c>
      <c r="J15" s="1"/>
    </row>
    <row r="16" spans="1:11" ht="31.5" hidden="1" x14ac:dyDescent="0.25">
      <c r="A16" s="1"/>
      <c r="C16" s="12">
        <v>1</v>
      </c>
      <c r="D16" s="13">
        <v>1</v>
      </c>
      <c r="E16" s="12"/>
      <c r="F16" s="14" t="s">
        <v>18</v>
      </c>
      <c r="G16" s="15">
        <v>360005</v>
      </c>
      <c r="H16" s="16">
        <f t="shared" si="0"/>
        <v>360005</v>
      </c>
      <c r="J16" s="1"/>
    </row>
    <row r="17" spans="1:10" ht="31.5" hidden="1" x14ac:dyDescent="0.25">
      <c r="A17" s="1"/>
      <c r="C17" s="12">
        <v>1</v>
      </c>
      <c r="D17" s="13">
        <v>1</v>
      </c>
      <c r="E17" s="12"/>
      <c r="F17" s="14" t="s">
        <v>18</v>
      </c>
      <c r="G17" s="15">
        <v>360006</v>
      </c>
      <c r="H17" s="16">
        <f t="shared" si="0"/>
        <v>360006</v>
      </c>
      <c r="J17" s="1"/>
    </row>
    <row r="18" spans="1:10" ht="31.5" hidden="1" x14ac:dyDescent="0.25">
      <c r="A18" s="1"/>
      <c r="C18" s="12">
        <v>1</v>
      </c>
      <c r="D18" s="13">
        <v>1</v>
      </c>
      <c r="E18" s="12"/>
      <c r="F18" s="14" t="s">
        <v>18</v>
      </c>
      <c r="G18" s="15">
        <v>360007</v>
      </c>
      <c r="H18" s="16">
        <f t="shared" si="0"/>
        <v>360007</v>
      </c>
      <c r="J18" s="1"/>
    </row>
    <row r="19" spans="1:10" ht="31.5" hidden="1" x14ac:dyDescent="0.25">
      <c r="A19" s="1"/>
      <c r="C19" s="12">
        <v>1</v>
      </c>
      <c r="D19" s="13">
        <v>1</v>
      </c>
      <c r="E19" s="12"/>
      <c r="F19" s="14" t="s">
        <v>18</v>
      </c>
      <c r="G19" s="15">
        <v>360008</v>
      </c>
      <c r="H19" s="16">
        <f t="shared" si="0"/>
        <v>360008</v>
      </c>
      <c r="J19" s="1"/>
    </row>
    <row r="20" spans="1:10" ht="31.5" hidden="1" x14ac:dyDescent="0.25">
      <c r="A20" s="1"/>
      <c r="C20" s="12">
        <v>1</v>
      </c>
      <c r="D20" s="13">
        <v>1</v>
      </c>
      <c r="E20" s="12"/>
      <c r="F20" s="14" t="s">
        <v>18</v>
      </c>
      <c r="G20" s="15">
        <v>360009</v>
      </c>
      <c r="H20" s="16">
        <f t="shared" si="0"/>
        <v>360009</v>
      </c>
      <c r="J20" s="1"/>
    </row>
    <row r="21" spans="1:10" ht="31.5" hidden="1" x14ac:dyDescent="0.25">
      <c r="A21" s="1"/>
      <c r="C21" s="12">
        <v>1</v>
      </c>
      <c r="D21" s="13">
        <v>1</v>
      </c>
      <c r="E21" s="12"/>
      <c r="F21" s="14" t="s">
        <v>18</v>
      </c>
      <c r="G21" s="15">
        <v>360010</v>
      </c>
      <c r="H21" s="16">
        <f t="shared" si="0"/>
        <v>360010</v>
      </c>
      <c r="J21" s="1"/>
    </row>
    <row r="22" spans="1:10" ht="31.5" hidden="1" x14ac:dyDescent="0.25">
      <c r="A22" s="1"/>
      <c r="C22" s="12">
        <v>1</v>
      </c>
      <c r="D22" s="13">
        <v>1</v>
      </c>
      <c r="E22" s="12"/>
      <c r="F22" s="14" t="s">
        <v>18</v>
      </c>
      <c r="G22" s="15">
        <v>360011</v>
      </c>
      <c r="H22" s="16">
        <f t="shared" si="0"/>
        <v>360011</v>
      </c>
      <c r="J22" s="1"/>
    </row>
    <row r="23" spans="1:10" ht="31.5" hidden="1" x14ac:dyDescent="0.25">
      <c r="A23" s="1"/>
      <c r="C23" s="12">
        <v>1</v>
      </c>
      <c r="D23" s="13">
        <v>1</v>
      </c>
      <c r="E23" s="12"/>
      <c r="F23" s="14" t="s">
        <v>18</v>
      </c>
      <c r="G23" s="15">
        <v>360012</v>
      </c>
      <c r="H23" s="16">
        <f t="shared" si="0"/>
        <v>360012</v>
      </c>
      <c r="J23" s="1"/>
    </row>
    <row r="24" spans="1:10" ht="31.5" hidden="1" x14ac:dyDescent="0.25">
      <c r="A24" s="1"/>
      <c r="C24" s="12">
        <v>1</v>
      </c>
      <c r="D24" s="13">
        <v>1</v>
      </c>
      <c r="E24" s="12"/>
      <c r="F24" s="14" t="s">
        <v>18</v>
      </c>
      <c r="G24" s="15">
        <v>360013</v>
      </c>
      <c r="H24" s="16">
        <f t="shared" si="0"/>
        <v>360013</v>
      </c>
      <c r="J24" s="1"/>
    </row>
    <row r="25" spans="1:10" ht="31.5" hidden="1" x14ac:dyDescent="0.25">
      <c r="A25" s="1"/>
      <c r="C25" s="12">
        <v>1</v>
      </c>
      <c r="D25" s="13">
        <v>1</v>
      </c>
      <c r="E25" s="12"/>
      <c r="F25" s="14" t="s">
        <v>18</v>
      </c>
      <c r="G25" s="15">
        <v>360014</v>
      </c>
      <c r="H25" s="16">
        <f t="shared" si="0"/>
        <v>360014</v>
      </c>
      <c r="J25" s="1"/>
    </row>
    <row r="26" spans="1:10" ht="31.5" hidden="1" x14ac:dyDescent="0.25">
      <c r="A26" s="1"/>
      <c r="C26" s="12">
        <v>1</v>
      </c>
      <c r="D26" s="13">
        <v>1</v>
      </c>
      <c r="E26" s="12"/>
      <c r="F26" s="14" t="s">
        <v>18</v>
      </c>
      <c r="G26" s="15">
        <v>360015</v>
      </c>
      <c r="H26" s="16">
        <f t="shared" si="0"/>
        <v>360015</v>
      </c>
      <c r="J26" s="1"/>
    </row>
    <row r="27" spans="1:10" ht="31.5" hidden="1" x14ac:dyDescent="0.25">
      <c r="A27" s="1"/>
      <c r="C27" s="12">
        <v>1</v>
      </c>
      <c r="D27" s="13">
        <v>1</v>
      </c>
      <c r="E27" s="12"/>
      <c r="F27" s="14" t="s">
        <v>18</v>
      </c>
      <c r="G27" s="15">
        <v>360016</v>
      </c>
      <c r="H27" s="16">
        <f t="shared" si="0"/>
        <v>360016</v>
      </c>
      <c r="J27" s="1"/>
    </row>
    <row r="28" spans="1:10" ht="31.5" hidden="1" x14ac:dyDescent="0.25">
      <c r="A28" s="1"/>
      <c r="C28" s="12">
        <v>1</v>
      </c>
      <c r="D28" s="13">
        <v>1</v>
      </c>
      <c r="E28" s="12"/>
      <c r="F28" s="14" t="s">
        <v>18</v>
      </c>
      <c r="G28" s="15">
        <v>360017</v>
      </c>
      <c r="H28" s="16">
        <f t="shared" si="0"/>
        <v>360017</v>
      </c>
      <c r="J28" s="1"/>
    </row>
    <row r="29" spans="1:10" ht="31.5" hidden="1" x14ac:dyDescent="0.25">
      <c r="A29" s="1"/>
      <c r="C29" s="12">
        <v>1</v>
      </c>
      <c r="D29" s="13">
        <v>1</v>
      </c>
      <c r="E29" s="12"/>
      <c r="F29" s="14" t="s">
        <v>18</v>
      </c>
      <c r="G29" s="15">
        <v>360018</v>
      </c>
      <c r="H29" s="16">
        <f t="shared" si="0"/>
        <v>360018</v>
      </c>
      <c r="J29" s="1"/>
    </row>
    <row r="30" spans="1:10" ht="31.5" hidden="1" x14ac:dyDescent="0.25">
      <c r="A30" s="1"/>
      <c r="C30" s="12">
        <v>1</v>
      </c>
      <c r="D30" s="13">
        <v>1</v>
      </c>
      <c r="E30" s="12"/>
      <c r="F30" s="14" t="s">
        <v>18</v>
      </c>
      <c r="G30" s="15">
        <v>360019</v>
      </c>
      <c r="H30" s="16">
        <f t="shared" si="0"/>
        <v>360019</v>
      </c>
      <c r="J30" s="1"/>
    </row>
    <row r="31" spans="1:10" ht="15.75" x14ac:dyDescent="0.25">
      <c r="A31" s="1"/>
      <c r="C31" s="12"/>
      <c r="D31" s="13"/>
      <c r="E31" s="12"/>
      <c r="F31" s="14"/>
      <c r="G31" s="15"/>
      <c r="H31" s="16">
        <f t="shared" si="0"/>
        <v>0</v>
      </c>
      <c r="J31" s="1"/>
    </row>
    <row r="32" spans="1:10" ht="15.75" x14ac:dyDescent="0.25">
      <c r="A32" s="1"/>
      <c r="C32" s="12"/>
      <c r="D32" s="13"/>
      <c r="E32" s="12"/>
      <c r="F32" s="14"/>
      <c r="G32" s="15"/>
      <c r="H32" s="16">
        <f t="shared" si="0"/>
        <v>0</v>
      </c>
      <c r="J32" s="1"/>
    </row>
    <row r="33" spans="1:256" ht="15.75" x14ac:dyDescent="0.25">
      <c r="A33" s="1"/>
      <c r="C33" s="114"/>
      <c r="D33" s="115"/>
      <c r="E33" s="115"/>
      <c r="F33" s="115"/>
      <c r="G33" s="115"/>
      <c r="H33" s="116"/>
      <c r="J33" s="1"/>
    </row>
    <row r="34" spans="1:256" ht="16.5" thickBot="1" x14ac:dyDescent="0.3">
      <c r="A34" s="1"/>
      <c r="C34" s="88" t="s">
        <v>19</v>
      </c>
      <c r="D34" s="89"/>
      <c r="E34" s="89"/>
      <c r="F34" s="89"/>
      <c r="G34" s="89"/>
      <c r="H34" s="90"/>
      <c r="J34" s="1"/>
    </row>
    <row r="35" spans="1:256" ht="15.75" x14ac:dyDescent="0.25">
      <c r="A35" s="17"/>
      <c r="C35" s="91" t="s">
        <v>20</v>
      </c>
      <c r="D35" s="92"/>
      <c r="E35" s="92"/>
      <c r="F35" s="18" t="s">
        <v>21</v>
      </c>
      <c r="G35" s="19"/>
      <c r="H35" s="20"/>
      <c r="J35" s="17"/>
    </row>
    <row r="36" spans="1:256" ht="15.75" x14ac:dyDescent="0.25">
      <c r="A36" s="17"/>
      <c r="C36" s="93" t="s">
        <v>22</v>
      </c>
      <c r="D36" s="94"/>
      <c r="E36" s="94"/>
      <c r="F36" s="94"/>
      <c r="G36" s="95"/>
      <c r="H36" s="21">
        <f>SUM(H11:H11)</f>
        <v>360000</v>
      </c>
      <c r="J36" s="17"/>
    </row>
    <row r="37" spans="1:256" ht="15.75" x14ac:dyDescent="0.25">
      <c r="A37" s="17"/>
      <c r="C37" s="93" t="s">
        <v>23</v>
      </c>
      <c r="D37" s="94"/>
      <c r="E37" s="94"/>
      <c r="F37" s="94"/>
      <c r="G37" s="95"/>
      <c r="H37" s="21">
        <f>+H36*19%</f>
        <v>68400</v>
      </c>
      <c r="J37" s="17"/>
    </row>
    <row r="38" spans="1:256" customFormat="1" ht="16.5" thickBot="1" x14ac:dyDescent="0.3">
      <c r="A38" s="22"/>
      <c r="C38" s="96" t="s">
        <v>24</v>
      </c>
      <c r="D38" s="97"/>
      <c r="E38" s="97"/>
      <c r="F38" s="97"/>
      <c r="G38" s="98"/>
      <c r="H38" s="23">
        <f>+H36+H37</f>
        <v>428400</v>
      </c>
      <c r="I38" s="2"/>
      <c r="J38" s="2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pans="1:256" x14ac:dyDescent="0.25">
      <c r="A39" s="24"/>
      <c r="C39" s="25" t="s">
        <v>25</v>
      </c>
      <c r="D39" s="26"/>
      <c r="E39" s="26"/>
      <c r="F39" s="26"/>
      <c r="G39" s="26"/>
      <c r="H39" s="27"/>
      <c r="J39" s="24"/>
    </row>
    <row r="40" spans="1:256" x14ac:dyDescent="0.25">
      <c r="A40" s="24"/>
      <c r="C40" s="85" t="s">
        <v>26</v>
      </c>
      <c r="D40" s="86"/>
      <c r="E40" s="86"/>
      <c r="F40" s="87"/>
      <c r="G40" s="28" t="s">
        <v>27</v>
      </c>
      <c r="H40" s="29"/>
      <c r="J40" s="24"/>
    </row>
    <row r="41" spans="1:256" x14ac:dyDescent="0.25">
      <c r="A41" s="24"/>
      <c r="C41" s="67" t="s">
        <v>26</v>
      </c>
      <c r="D41" s="68"/>
      <c r="E41" s="69" t="s">
        <v>28</v>
      </c>
      <c r="F41" s="70"/>
      <c r="G41" s="30" t="s">
        <v>29</v>
      </c>
      <c r="H41" s="29"/>
      <c r="J41" s="24"/>
    </row>
    <row r="42" spans="1:256" x14ac:dyDescent="0.25">
      <c r="A42" s="24"/>
      <c r="C42" s="67" t="s">
        <v>30</v>
      </c>
      <c r="D42" s="68"/>
      <c r="E42" s="69" t="s">
        <v>31</v>
      </c>
      <c r="F42" s="70"/>
      <c r="G42" s="31"/>
      <c r="H42" s="29"/>
      <c r="J42" s="24"/>
    </row>
    <row r="43" spans="1:256" x14ac:dyDescent="0.25">
      <c r="A43" s="24"/>
      <c r="C43" s="67" t="s">
        <v>32</v>
      </c>
      <c r="D43" s="68"/>
      <c r="E43" s="69" t="s">
        <v>31</v>
      </c>
      <c r="F43" s="70"/>
      <c r="G43" s="31"/>
      <c r="H43" s="29"/>
      <c r="J43" s="24"/>
    </row>
    <row r="44" spans="1:256" x14ac:dyDescent="0.25">
      <c r="A44" s="24"/>
      <c r="C44" s="32"/>
      <c r="D44" s="33"/>
      <c r="E44" s="33"/>
      <c r="F44" s="33"/>
      <c r="G44" s="34"/>
      <c r="H44" s="29"/>
      <c r="J44" s="24"/>
    </row>
    <row r="45" spans="1:256" x14ac:dyDescent="0.25">
      <c r="A45" s="24"/>
      <c r="C45" s="85" t="s">
        <v>33</v>
      </c>
      <c r="D45" s="86"/>
      <c r="E45" s="86"/>
      <c r="F45" s="87"/>
      <c r="G45" s="28" t="s">
        <v>27</v>
      </c>
      <c r="H45" s="29"/>
      <c r="J45" s="24"/>
    </row>
    <row r="46" spans="1:256" x14ac:dyDescent="0.25">
      <c r="A46" s="24"/>
      <c r="C46" s="67" t="s">
        <v>34</v>
      </c>
      <c r="D46" s="68"/>
      <c r="E46" s="69" t="s">
        <v>35</v>
      </c>
      <c r="F46" s="70"/>
      <c r="G46" s="30" t="s">
        <v>29</v>
      </c>
      <c r="H46" s="29"/>
      <c r="J46" s="24"/>
    </row>
    <row r="47" spans="1:256" x14ac:dyDescent="0.25">
      <c r="A47" s="24"/>
      <c r="C47" s="67" t="s">
        <v>34</v>
      </c>
      <c r="D47" s="68"/>
      <c r="E47" s="69" t="s">
        <v>36</v>
      </c>
      <c r="F47" s="70"/>
      <c r="G47" s="30"/>
      <c r="H47" s="29"/>
      <c r="J47" s="24"/>
    </row>
    <row r="48" spans="1:256" x14ac:dyDescent="0.25">
      <c r="A48" s="24"/>
      <c r="C48" s="67" t="s">
        <v>34</v>
      </c>
      <c r="D48" s="68"/>
      <c r="E48" s="69" t="s">
        <v>37</v>
      </c>
      <c r="F48" s="70"/>
      <c r="G48" s="31"/>
      <c r="H48" s="29"/>
      <c r="J48" s="24"/>
    </row>
    <row r="49" spans="1:256" x14ac:dyDescent="0.25">
      <c r="A49" s="1"/>
      <c r="C49" s="67" t="s">
        <v>38</v>
      </c>
      <c r="D49" s="68"/>
      <c r="E49" s="69" t="s">
        <v>39</v>
      </c>
      <c r="F49" s="70"/>
      <c r="G49" s="31"/>
      <c r="H49" s="29"/>
      <c r="J49" s="1"/>
    </row>
    <row r="50" spans="1:256" x14ac:dyDescent="0.25">
      <c r="A50" s="1"/>
      <c r="C50" s="67" t="s">
        <v>40</v>
      </c>
      <c r="D50" s="68"/>
      <c r="E50" s="71" t="s">
        <v>41</v>
      </c>
      <c r="F50" s="72"/>
      <c r="G50" s="30" t="s">
        <v>29</v>
      </c>
      <c r="H50" s="29"/>
      <c r="J50" s="1"/>
    </row>
    <row r="51" spans="1:256" ht="15.75" thickBot="1" x14ac:dyDescent="0.3">
      <c r="A51" s="1"/>
      <c r="C51" s="35"/>
      <c r="D51" s="36"/>
      <c r="E51" s="37"/>
      <c r="F51" s="37"/>
      <c r="G51" s="38"/>
      <c r="H51" s="39"/>
      <c r="J51" s="1"/>
    </row>
    <row r="52" spans="1:256" customFormat="1" x14ac:dyDescent="0.25">
      <c r="A52" s="1"/>
      <c r="C52" s="73" t="s">
        <v>42</v>
      </c>
      <c r="D52" s="74"/>
      <c r="E52" s="74"/>
      <c r="F52" s="74"/>
      <c r="G52" s="74"/>
      <c r="H52" s="75"/>
      <c r="I52" s="2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</row>
    <row r="53" spans="1:256" customFormat="1" x14ac:dyDescent="0.25">
      <c r="A53" s="1"/>
      <c r="C53" s="76" t="s">
        <v>43</v>
      </c>
      <c r="D53" s="77"/>
      <c r="E53" s="77"/>
      <c r="F53" s="77"/>
      <c r="G53" s="77"/>
      <c r="H53" s="78"/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</row>
    <row r="54" spans="1:256" customFormat="1" x14ac:dyDescent="0.25">
      <c r="A54" s="1"/>
      <c r="C54" s="79"/>
      <c r="D54" s="80"/>
      <c r="E54" s="80"/>
      <c r="F54" s="80"/>
      <c r="G54" s="80"/>
      <c r="H54" s="81"/>
      <c r="I54" s="2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</row>
    <row r="55" spans="1:256" customFormat="1" x14ac:dyDescent="0.25">
      <c r="A55" s="1"/>
      <c r="C55" s="79"/>
      <c r="D55" s="80"/>
      <c r="E55" s="80"/>
      <c r="F55" s="80"/>
      <c r="G55" s="80"/>
      <c r="H55" s="81"/>
      <c r="I55" s="2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</row>
    <row r="56" spans="1:256" customFormat="1" x14ac:dyDescent="0.25">
      <c r="A56" s="1"/>
      <c r="C56" s="79"/>
      <c r="D56" s="80"/>
      <c r="E56" s="80"/>
      <c r="F56" s="80"/>
      <c r="G56" s="80"/>
      <c r="H56" s="81"/>
      <c r="I56" s="2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</row>
    <row r="57" spans="1:256" customFormat="1" x14ac:dyDescent="0.25">
      <c r="A57" s="1"/>
      <c r="C57" s="79"/>
      <c r="D57" s="80"/>
      <c r="E57" s="80"/>
      <c r="F57" s="80"/>
      <c r="G57" s="80"/>
      <c r="H57" s="81"/>
      <c r="I57" s="2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</row>
    <row r="58" spans="1:256" customFormat="1" ht="15.75" thickBot="1" x14ac:dyDescent="0.3">
      <c r="A58" s="1"/>
      <c r="C58" s="82"/>
      <c r="D58" s="83"/>
      <c r="E58" s="83"/>
      <c r="F58" s="83"/>
      <c r="G58" s="83"/>
      <c r="H58" s="84"/>
      <c r="I58" s="2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spans="1:256" customFormat="1" x14ac:dyDescent="0.25">
      <c r="A59" s="1"/>
      <c r="C59" s="50" t="s">
        <v>44</v>
      </c>
      <c r="D59" s="51"/>
      <c r="E59" s="51"/>
      <c r="F59" s="51"/>
      <c r="G59" s="51"/>
      <c r="H59" s="52"/>
      <c r="I59" s="2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spans="1:256" customFormat="1" x14ac:dyDescent="0.25">
      <c r="A60" s="1"/>
      <c r="C60" s="53" t="s">
        <v>45</v>
      </c>
      <c r="D60" s="54"/>
      <c r="E60" s="55"/>
      <c r="F60" s="40" t="s">
        <v>46</v>
      </c>
      <c r="G60" s="41" t="s">
        <v>47</v>
      </c>
      <c r="H60" s="42"/>
      <c r="I60" s="2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</row>
    <row r="61" spans="1:256" customFormat="1" ht="21" x14ac:dyDescent="0.25">
      <c r="A61" s="1"/>
      <c r="C61" s="43" t="s">
        <v>48</v>
      </c>
      <c r="D61" s="44"/>
      <c r="E61" s="45"/>
      <c r="F61" s="46"/>
      <c r="G61" s="44"/>
      <c r="H61" s="47"/>
      <c r="I61" s="2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</row>
    <row r="62" spans="1:256" customFormat="1" ht="21.75" thickBot="1" x14ac:dyDescent="0.3">
      <c r="A62" s="1"/>
      <c r="C62" s="56" t="str">
        <f>E50</f>
        <v>Yeni Roncancio</v>
      </c>
      <c r="D62" s="57"/>
      <c r="E62" s="58"/>
      <c r="F62" s="48" t="s">
        <v>49</v>
      </c>
      <c r="G62" s="59" t="s">
        <v>50</v>
      </c>
      <c r="H62" s="60"/>
      <c r="I62" s="2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</row>
    <row r="63" spans="1:256" customFormat="1" x14ac:dyDescent="0.25">
      <c r="A63" s="1"/>
      <c r="C63" s="61" t="s">
        <v>51</v>
      </c>
      <c r="D63" s="62"/>
      <c r="E63" s="62"/>
      <c r="F63" s="62"/>
      <c r="G63" s="62"/>
      <c r="H63" s="63"/>
      <c r="I63" s="2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</row>
    <row r="64" spans="1:256" customFormat="1" ht="15.75" thickBot="1" x14ac:dyDescent="0.3">
      <c r="A64" s="1"/>
      <c r="C64" s="64" t="s">
        <v>52</v>
      </c>
      <c r="D64" s="65"/>
      <c r="E64" s="65"/>
      <c r="F64" s="65"/>
      <c r="G64" s="65"/>
      <c r="H64" s="66"/>
      <c r="I64" s="2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</row>
    <row r="65" spans="1:10" x14ac:dyDescent="0.25">
      <c r="A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8" spans="1:10" x14ac:dyDescent="0.25">
      <c r="H68" s="49"/>
    </row>
  </sheetData>
  <mergeCells count="44">
    <mergeCell ref="C6:E6"/>
    <mergeCell ref="F6:H6"/>
    <mergeCell ref="C3:E4"/>
    <mergeCell ref="F3:H3"/>
    <mergeCell ref="G4:H4"/>
    <mergeCell ref="C5:E5"/>
    <mergeCell ref="F5:H5"/>
    <mergeCell ref="C40:F40"/>
    <mergeCell ref="C7:E7"/>
    <mergeCell ref="F7:H7"/>
    <mergeCell ref="C8:E8"/>
    <mergeCell ref="F8:H8"/>
    <mergeCell ref="C9:E9"/>
    <mergeCell ref="C33:H33"/>
    <mergeCell ref="C34:H34"/>
    <mergeCell ref="C35:E35"/>
    <mergeCell ref="C36:G36"/>
    <mergeCell ref="C37:G37"/>
    <mergeCell ref="C38:G38"/>
    <mergeCell ref="C48:D48"/>
    <mergeCell ref="E48:F48"/>
    <mergeCell ref="C41:D41"/>
    <mergeCell ref="E41:F41"/>
    <mergeCell ref="C42:D42"/>
    <mergeCell ref="E42:F42"/>
    <mergeCell ref="C43:D43"/>
    <mergeCell ref="E43:F43"/>
    <mergeCell ref="C45:F45"/>
    <mergeCell ref="C46:D46"/>
    <mergeCell ref="E46:F46"/>
    <mergeCell ref="C47:D47"/>
    <mergeCell ref="E47:F47"/>
    <mergeCell ref="C64:H64"/>
    <mergeCell ref="C49:D49"/>
    <mergeCell ref="E49:F49"/>
    <mergeCell ref="C50:D50"/>
    <mergeCell ref="E50:F50"/>
    <mergeCell ref="C52:H52"/>
    <mergeCell ref="C53:H58"/>
    <mergeCell ref="C59:H59"/>
    <mergeCell ref="C60:E60"/>
    <mergeCell ref="C62:E62"/>
    <mergeCell ref="G62:H62"/>
    <mergeCell ref="C63:H63"/>
  </mergeCells>
  <hyperlinks>
    <hyperlink ref="F35" r:id="rId1" xr:uid="{07865553-6932-4DB8-BF2F-A566B485F79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EMPRESAS LOGISTICAS</dc:creator>
  <cp:lastModifiedBy>ANDRES FELIPE QUINTERO ARCILA</cp:lastModifiedBy>
  <dcterms:created xsi:type="dcterms:W3CDTF">2026-04-14T15:25:39Z</dcterms:created>
  <dcterms:modified xsi:type="dcterms:W3CDTF">2026-04-20T14:13:20Z</dcterms:modified>
</cp:coreProperties>
</file>